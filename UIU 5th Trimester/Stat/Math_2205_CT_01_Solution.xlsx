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ection B" sheetId="1" r:id="rId1"/>
    <sheet name="Section D" sheetId="2" r:id="rId2"/>
    <sheet name="Section G" sheetId="3" r:id="rId3"/>
  </sheets>
  <calcPr calcId="144525"/>
</workbook>
</file>

<file path=xl/calcChain.xml><?xml version="1.0" encoding="utf-8"?>
<calcChain xmlns="http://schemas.openxmlformats.org/spreadsheetml/2006/main">
  <c r="C13" i="3" l="1"/>
  <c r="C12" i="3"/>
  <c r="F9" i="3"/>
  <c r="F8" i="3"/>
  <c r="F7" i="3"/>
  <c r="F6" i="3"/>
  <c r="F5" i="3"/>
  <c r="F4" i="3"/>
  <c r="C11" i="3"/>
  <c r="D9" i="3"/>
  <c r="H9" i="1" l="1"/>
  <c r="C13" i="1" s="1"/>
  <c r="H8" i="1"/>
  <c r="H7" i="1"/>
  <c r="H6" i="1"/>
  <c r="H5" i="1"/>
  <c r="H4" i="1"/>
  <c r="C12" i="1"/>
  <c r="C11" i="1"/>
  <c r="D9" i="1"/>
  <c r="G8" i="1"/>
  <c r="F8" i="1"/>
  <c r="G7" i="1"/>
  <c r="F7" i="1"/>
  <c r="G6" i="1"/>
  <c r="F6" i="1"/>
  <c r="G5" i="1"/>
  <c r="F5" i="1"/>
  <c r="G4" i="1"/>
  <c r="F4" i="1"/>
  <c r="C14" i="2"/>
  <c r="C13" i="2"/>
  <c r="C12" i="2"/>
  <c r="H10" i="2"/>
  <c r="G10" i="2"/>
  <c r="F10" i="2"/>
  <c r="D10" i="2"/>
  <c r="H9" i="2"/>
  <c r="H8" i="2"/>
  <c r="H7" i="2"/>
  <c r="H6" i="2"/>
  <c r="H5" i="2"/>
  <c r="H4" i="2"/>
  <c r="G9" i="2"/>
  <c r="G8" i="2"/>
  <c r="G7" i="2"/>
  <c r="G6" i="2"/>
  <c r="G5" i="2"/>
  <c r="G4" i="2"/>
  <c r="F9" i="2"/>
  <c r="F8" i="2"/>
  <c r="F7" i="2"/>
  <c r="F6" i="2"/>
  <c r="F5" i="2"/>
  <c r="F4" i="2"/>
  <c r="F9" i="1" l="1"/>
  <c r="G9" i="1"/>
</calcChain>
</file>

<file path=xl/sharedStrings.xml><?xml version="1.0" encoding="utf-8"?>
<sst xmlns="http://schemas.openxmlformats.org/spreadsheetml/2006/main" count="67" uniqueCount="46">
  <si>
    <t>Class</t>
  </si>
  <si>
    <t>x</t>
  </si>
  <si>
    <t>f</t>
  </si>
  <si>
    <t>F</t>
  </si>
  <si>
    <t>fx</t>
  </si>
  <si>
    <t>fx^2</t>
  </si>
  <si>
    <t>f*log(x)</t>
  </si>
  <si>
    <t>60-65</t>
  </si>
  <si>
    <t>65-70</t>
  </si>
  <si>
    <t>70-75</t>
  </si>
  <si>
    <t>75-80</t>
  </si>
  <si>
    <t>80-85</t>
  </si>
  <si>
    <t>85-90</t>
  </si>
  <si>
    <t>CUL</t>
  </si>
  <si>
    <t>CF</t>
  </si>
  <si>
    <t>SD =</t>
  </si>
  <si>
    <t>GM =</t>
  </si>
  <si>
    <t>Range =</t>
  </si>
  <si>
    <t>Sample size =</t>
  </si>
  <si>
    <t>Sum</t>
  </si>
  <si>
    <t>0-5</t>
  </si>
  <si>
    <t>5-10</t>
  </si>
  <si>
    <t>10-15</t>
  </si>
  <si>
    <t>15-20</t>
  </si>
  <si>
    <t>20-25</t>
  </si>
  <si>
    <t>Modal Class</t>
  </si>
  <si>
    <t>Mode =</t>
  </si>
  <si>
    <t>% in Modal class =</t>
  </si>
  <si>
    <t xml:space="preserve">Median = </t>
  </si>
  <si>
    <t>11 (Approx)</t>
  </si>
  <si>
    <t>f/x</t>
  </si>
  <si>
    <t>HM =</t>
  </si>
  <si>
    <t>103-118</t>
  </si>
  <si>
    <t>88-103</t>
  </si>
  <si>
    <t>73-88</t>
  </si>
  <si>
    <t>58-73</t>
  </si>
  <si>
    <t>43-58</t>
  </si>
  <si>
    <t>Median Class</t>
  </si>
  <si>
    <t>Median =</t>
  </si>
  <si>
    <t>f*|x-Me|</t>
  </si>
  <si>
    <t>MD (Me) =</t>
  </si>
  <si>
    <t>D7 =</t>
  </si>
  <si>
    <t>29/2 = 14.5</t>
  </si>
  <si>
    <t>7*29/10=20.3</t>
  </si>
  <si>
    <t>D7 Class</t>
  </si>
  <si>
    <t>No of Scores More than 90 is 29-19 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</si>
</sst>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2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0" fillId="0" borderId="0" xfId="0" quotePrefix="1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'Section B'!$C$15</c:f>
              <c:strCache>
                <c:ptCount val="1"/>
                <c:pt idx="0">
                  <c:v>CF</c:v>
                </c:pt>
              </c:strCache>
            </c:strRef>
          </c:tx>
          <c:xVal>
            <c:numRef>
              <c:f>'Section B'!$B$16:$B$20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'Section B'!$C$16:$C$20</c:f>
              <c:numCache>
                <c:formatCode>General</c:formatCode>
                <c:ptCount val="5"/>
                <c:pt idx="0">
                  <c:v>21</c:v>
                </c:pt>
                <c:pt idx="1">
                  <c:v>51</c:v>
                </c:pt>
                <c:pt idx="2">
                  <c:v>69</c:v>
                </c:pt>
                <c:pt idx="3">
                  <c:v>86</c:v>
                </c:pt>
                <c:pt idx="4">
                  <c:v>109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19168"/>
        <c:axId val="99320960"/>
      </c:scatterChart>
      <c:valAx>
        <c:axId val="9931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320960"/>
        <c:crosses val="autoZero"/>
        <c:crossBetween val="midCat"/>
      </c:valAx>
      <c:valAx>
        <c:axId val="99320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3191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'Section D'!$C$17</c:f>
              <c:strCache>
                <c:ptCount val="1"/>
                <c:pt idx="0">
                  <c:v>CF</c:v>
                </c:pt>
              </c:strCache>
            </c:strRef>
          </c:tx>
          <c:xVal>
            <c:numRef>
              <c:f>'Section D'!$B$18:$B$23</c:f>
              <c:numCache>
                <c:formatCode>General</c:formatCode>
                <c:ptCount val="6"/>
                <c:pt idx="0">
                  <c:v>65</c:v>
                </c:pt>
                <c:pt idx="1">
                  <c:v>70</c:v>
                </c:pt>
                <c:pt idx="2">
                  <c:v>75</c:v>
                </c:pt>
                <c:pt idx="3">
                  <c:v>80</c:v>
                </c:pt>
                <c:pt idx="4">
                  <c:v>85</c:v>
                </c:pt>
                <c:pt idx="5">
                  <c:v>90</c:v>
                </c:pt>
              </c:numCache>
            </c:numRef>
          </c:xVal>
          <c:yVal>
            <c:numRef>
              <c:f>'Section D'!$C$18:$C$23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14</c:v>
                </c:pt>
                <c:pt idx="3">
                  <c:v>24</c:v>
                </c:pt>
                <c:pt idx="4">
                  <c:v>29</c:v>
                </c:pt>
                <c:pt idx="5">
                  <c:v>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386880"/>
        <c:axId val="99388416"/>
      </c:scatterChart>
      <c:valAx>
        <c:axId val="9938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9388416"/>
        <c:crosses val="autoZero"/>
        <c:crossBetween val="midCat"/>
      </c:valAx>
      <c:valAx>
        <c:axId val="9938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9386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'Section G'!$C$15</c:f>
              <c:strCache>
                <c:ptCount val="1"/>
                <c:pt idx="0">
                  <c:v>f</c:v>
                </c:pt>
              </c:strCache>
            </c:strRef>
          </c:tx>
          <c:dLbls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'Section G'!$B$16:$B$20</c:f>
              <c:strCache>
                <c:ptCount val="5"/>
                <c:pt idx="0">
                  <c:v>43-58</c:v>
                </c:pt>
                <c:pt idx="1">
                  <c:v>58-73</c:v>
                </c:pt>
                <c:pt idx="2">
                  <c:v>73-88</c:v>
                </c:pt>
                <c:pt idx="3">
                  <c:v>88-103</c:v>
                </c:pt>
                <c:pt idx="4">
                  <c:v>103-118</c:v>
                </c:pt>
              </c:strCache>
            </c:strRef>
          </c:cat>
          <c:val>
            <c:numRef>
              <c:f>'Section G'!$C$16:$C$20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12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21</xdr:row>
      <xdr:rowOff>19050</xdr:rowOff>
    </xdr:from>
    <xdr:to>
      <xdr:col>7</xdr:col>
      <xdr:colOff>285750</xdr:colOff>
      <xdr:row>35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0.08564</cdr:x>
      <cdr:y>0.50736</cdr:y>
    </cdr:from>
    <cdr:to>
      <cdr:x>0.4061</cdr:x>
      <cdr:y>0.50841</cdr:y>
    </cdr:to>
    <cdr:cxnSp macro="">
      <cdr:nvCxnSpPr>
        <cdr:cNvPr id="5" name="Straight Arrow Connector 4"/>
        <cdr:cNvCxnSpPr/>
      </cdr:nvCxnSpPr>
      <cdr:spPr>
        <a:xfrm xmlns:a="http://schemas.openxmlformats.org/drawingml/2006/main">
          <a:off x="392530" y="1391781"/>
          <a:ext cx="1468856" cy="288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0.40157</cdr:x>
      <cdr:y>0.50428</cdr:y>
    </cdr:from>
    <cdr:to>
      <cdr:x>0.40246</cdr:x>
      <cdr:y>0.88401</cdr:y>
    </cdr:to>
    <cdr:cxnSp macro="">
      <cdr:nvCxnSpPr>
        <cdr:cNvPr id="9" name="Straight Arrow Connector 8"/>
        <cdr:cNvCxnSpPr/>
      </cdr:nvCxnSpPr>
      <cdr:spPr>
        <a:xfrm xmlns:a="http://schemas.openxmlformats.org/drawingml/2006/main" flipH="1">
          <a:off x="1831840" y="1383354"/>
          <a:ext cx="4054" cy="104167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23</xdr:row>
      <xdr:rowOff>85725</xdr:rowOff>
    </xdr:from>
    <xdr:to>
      <xdr:col>7</xdr:col>
      <xdr:colOff>571500</xdr:colOff>
      <xdr:row>37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</xdr:row>
      <xdr:rowOff>114300</xdr:rowOff>
    </xdr:from>
    <xdr:to>
      <xdr:col>7</xdr:col>
      <xdr:colOff>314325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8"/>
  <sheetViews>
    <sheetView zoomScaleNormal="100" workbookViewId="0">
      <selection activeCell="G14" sqref="A1:XFD1048576"/>
    </sheetView>
  </sheetViews>
  <sheetFormatPr defaultRowHeight="15" x14ac:dyDescent="0.25"/>
  <cols>
    <col min="1" max="1" width="9.140625" customWidth="1"/>
    <col min="2" max="2" width="18.42578125" customWidth="1"/>
  </cols>
  <sheetData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30</v>
      </c>
    </row>
    <row r="4" spans="2:9" x14ac:dyDescent="0.25">
      <c r="B4" s="3" t="s">
        <v>20</v>
      </c>
      <c r="C4" s="1">
        <v>2.5</v>
      </c>
      <c r="D4" s="1">
        <v>21</v>
      </c>
      <c r="E4" s="1">
        <v>21</v>
      </c>
      <c r="F4" s="1">
        <f>D4*C4</f>
        <v>52.5</v>
      </c>
      <c r="G4" s="1">
        <f>D4*C4^2</f>
        <v>131.25</v>
      </c>
      <c r="H4" s="1">
        <f>D4/C4</f>
        <v>8.4</v>
      </c>
    </row>
    <row r="5" spans="2:9" x14ac:dyDescent="0.25">
      <c r="B5" s="4" t="s">
        <v>21</v>
      </c>
      <c r="C5" s="5">
        <v>7.5</v>
      </c>
      <c r="D5" s="5">
        <v>30</v>
      </c>
      <c r="E5" s="5">
        <v>51</v>
      </c>
      <c r="F5" s="5">
        <f t="shared" ref="F5:F8" si="0">D5*C5</f>
        <v>225</v>
      </c>
      <c r="G5" s="5">
        <f t="shared" ref="G5:G8" si="1">D5*C5^2</f>
        <v>1687.5</v>
      </c>
      <c r="H5" s="1">
        <f t="shared" ref="H5:H8" si="2">D5/C5</f>
        <v>4</v>
      </c>
      <c r="I5" t="s">
        <v>25</v>
      </c>
    </row>
    <row r="6" spans="2:9" x14ac:dyDescent="0.25">
      <c r="B6" s="3" t="s">
        <v>22</v>
      </c>
      <c r="C6" s="1">
        <v>12.5</v>
      </c>
      <c r="D6" s="1">
        <v>18</v>
      </c>
      <c r="E6" s="1">
        <v>69</v>
      </c>
      <c r="F6" s="1">
        <f t="shared" si="0"/>
        <v>225</v>
      </c>
      <c r="G6" s="1">
        <f t="shared" si="1"/>
        <v>2812.5</v>
      </c>
      <c r="H6" s="1">
        <f t="shared" si="2"/>
        <v>1.44</v>
      </c>
    </row>
    <row r="7" spans="2:9" x14ac:dyDescent="0.25">
      <c r="B7" s="3" t="s">
        <v>23</v>
      </c>
      <c r="C7" s="1">
        <v>17.5</v>
      </c>
      <c r="D7" s="1">
        <v>17</v>
      </c>
      <c r="E7" s="1">
        <v>86</v>
      </c>
      <c r="F7" s="1">
        <f t="shared" si="0"/>
        <v>297.5</v>
      </c>
      <c r="G7" s="1">
        <f t="shared" si="1"/>
        <v>5206.25</v>
      </c>
      <c r="H7" s="1">
        <f t="shared" si="2"/>
        <v>0.97142857142857142</v>
      </c>
    </row>
    <row r="8" spans="2:9" x14ac:dyDescent="0.25">
      <c r="B8" s="3" t="s">
        <v>24</v>
      </c>
      <c r="C8" s="1">
        <v>22.5</v>
      </c>
      <c r="D8" s="1">
        <v>23</v>
      </c>
      <c r="E8" s="1">
        <v>109</v>
      </c>
      <c r="F8" s="1">
        <f t="shared" si="0"/>
        <v>517.5</v>
      </c>
      <c r="G8" s="1">
        <f t="shared" si="1"/>
        <v>11643.75</v>
      </c>
      <c r="H8" s="1">
        <f t="shared" si="2"/>
        <v>1.0222222222222221</v>
      </c>
    </row>
    <row r="9" spans="2:9" x14ac:dyDescent="0.25">
      <c r="B9" s="1" t="s">
        <v>19</v>
      </c>
      <c r="C9" s="1"/>
      <c r="D9" s="1">
        <f>SUM(D4:D8)</f>
        <v>109</v>
      </c>
      <c r="E9" s="1"/>
      <c r="F9" s="1">
        <f>SUM(F4:F8)</f>
        <v>1317.5</v>
      </c>
      <c r="G9" s="1">
        <f>SUM(G4:G8)</f>
        <v>21481.25</v>
      </c>
      <c r="H9" s="1">
        <f>SUM(H4:H8)</f>
        <v>15.833650793650794</v>
      </c>
    </row>
    <row r="10" spans="2:9" x14ac:dyDescent="0.25">
      <c r="B10" s="1"/>
      <c r="C10" s="1"/>
      <c r="D10" s="1"/>
      <c r="E10" s="1"/>
      <c r="F10" s="1"/>
      <c r="G10" s="1"/>
      <c r="H10" s="1"/>
    </row>
    <row r="11" spans="2:9" x14ac:dyDescent="0.25">
      <c r="B11" s="1" t="s">
        <v>26</v>
      </c>
      <c r="C11" s="1">
        <f>5+(9*5)/(9+12)</f>
        <v>7.1428571428571423</v>
      </c>
      <c r="D11" s="1"/>
      <c r="E11" s="1"/>
      <c r="F11" s="1"/>
      <c r="G11" s="1"/>
      <c r="H11" s="1"/>
    </row>
    <row r="12" spans="2:9" x14ac:dyDescent="0.25">
      <c r="B12" s="1" t="s">
        <v>27</v>
      </c>
      <c r="C12" s="6">
        <f>30/109</f>
        <v>0.27522935779816515</v>
      </c>
      <c r="D12" s="1"/>
      <c r="G12" s="1"/>
      <c r="H12" s="1"/>
    </row>
    <row r="13" spans="2:9" x14ac:dyDescent="0.25">
      <c r="B13" s="1" t="s">
        <v>31</v>
      </c>
      <c r="C13" s="1">
        <f>D9/H9</f>
        <v>6.8840724997995029</v>
      </c>
      <c r="D13" s="1"/>
      <c r="E13" s="1"/>
      <c r="F13" s="1"/>
      <c r="G13" s="1"/>
      <c r="H13" s="1"/>
    </row>
    <row r="14" spans="2:9" x14ac:dyDescent="0.25">
      <c r="D14" s="1"/>
      <c r="E14" s="1"/>
      <c r="F14" s="1"/>
      <c r="G14" s="1"/>
      <c r="H14" s="1"/>
    </row>
    <row r="15" spans="2:9" x14ac:dyDescent="0.25">
      <c r="B15" s="2" t="s">
        <v>13</v>
      </c>
      <c r="C15" s="2" t="s">
        <v>14</v>
      </c>
    </row>
    <row r="16" spans="2:9" x14ac:dyDescent="0.25">
      <c r="B16" s="1">
        <v>5</v>
      </c>
      <c r="C16" s="1">
        <v>21</v>
      </c>
    </row>
    <row r="17" spans="2:3" x14ac:dyDescent="0.25">
      <c r="B17" s="1">
        <v>10</v>
      </c>
      <c r="C17" s="7">
        <v>51</v>
      </c>
    </row>
    <row r="18" spans="2:3" x14ac:dyDescent="0.25">
      <c r="B18" s="1">
        <v>15</v>
      </c>
      <c r="C18" s="1">
        <v>69</v>
      </c>
    </row>
    <row r="19" spans="2:3" x14ac:dyDescent="0.25">
      <c r="B19" s="1">
        <v>20</v>
      </c>
      <c r="C19" s="1">
        <v>86</v>
      </c>
    </row>
    <row r="20" spans="2:3" x14ac:dyDescent="0.25">
      <c r="B20" s="1">
        <v>25</v>
      </c>
      <c r="C20" s="1">
        <v>109</v>
      </c>
    </row>
    <row r="21" spans="2:3" x14ac:dyDescent="0.25">
      <c r="B21" s="1"/>
      <c r="C21" s="1"/>
    </row>
    <row r="38" spans="2:3" x14ac:dyDescent="0.25">
      <c r="B38" t="s">
        <v>28</v>
      </c>
      <c r="C38" t="s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3"/>
  <sheetViews>
    <sheetView topLeftCell="A7" workbookViewId="0">
      <selection activeCell="E20" sqref="E20"/>
    </sheetView>
  </sheetViews>
  <sheetFormatPr defaultRowHeight="15" x14ac:dyDescent="0.25"/>
  <cols>
    <col min="2" max="2" width="16.140625" customWidth="1"/>
  </cols>
  <sheetData>
    <row r="3" spans="2:8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2:8" x14ac:dyDescent="0.25">
      <c r="B4" s="1" t="s">
        <v>7</v>
      </c>
      <c r="C4" s="1">
        <v>62.5</v>
      </c>
      <c r="D4" s="1">
        <v>3</v>
      </c>
      <c r="E4" s="1">
        <v>3</v>
      </c>
      <c r="F4" s="1">
        <f>D4*C4</f>
        <v>187.5</v>
      </c>
      <c r="G4" s="1">
        <f>D4*C4^2</f>
        <v>11718.75</v>
      </c>
      <c r="H4" s="1">
        <f>D4*LOG(C4)</f>
        <v>5.3876400520322258</v>
      </c>
    </row>
    <row r="5" spans="2:8" x14ac:dyDescent="0.25">
      <c r="B5" s="1" t="s">
        <v>8</v>
      </c>
      <c r="C5" s="1">
        <v>67.5</v>
      </c>
      <c r="D5" s="1">
        <v>3</v>
      </c>
      <c r="E5" s="1">
        <v>6</v>
      </c>
      <c r="F5" s="1">
        <f t="shared" ref="F5:F9" si="0">D5*C5</f>
        <v>202.5</v>
      </c>
      <c r="G5" s="1">
        <f t="shared" ref="G5:G9" si="1">D5*C5^2</f>
        <v>13668.75</v>
      </c>
      <c r="H5" s="1">
        <f t="shared" ref="H5:H9" si="2">D5*LOG(C5)</f>
        <v>5.4879113184930741</v>
      </c>
    </row>
    <row r="6" spans="2:8" x14ac:dyDescent="0.25">
      <c r="B6" s="1" t="s">
        <v>9</v>
      </c>
      <c r="C6" s="1">
        <v>72.5</v>
      </c>
      <c r="D6" s="1">
        <v>8</v>
      </c>
      <c r="E6" s="1">
        <v>14</v>
      </c>
      <c r="F6" s="1">
        <f t="shared" si="0"/>
        <v>580</v>
      </c>
      <c r="G6" s="1">
        <f t="shared" si="1"/>
        <v>42050</v>
      </c>
      <c r="H6" s="1">
        <f t="shared" si="2"/>
        <v>14.88270405256795</v>
      </c>
    </row>
    <row r="7" spans="2:8" x14ac:dyDescent="0.25">
      <c r="B7" s="1" t="s">
        <v>10</v>
      </c>
      <c r="C7" s="1">
        <v>77.5</v>
      </c>
      <c r="D7" s="1">
        <v>10</v>
      </c>
      <c r="E7" s="1">
        <v>24</v>
      </c>
      <c r="F7" s="1">
        <f t="shared" si="0"/>
        <v>775</v>
      </c>
      <c r="G7" s="1">
        <f t="shared" si="1"/>
        <v>60062.5</v>
      </c>
      <c r="H7" s="1">
        <f t="shared" si="2"/>
        <v>18.893017025063102</v>
      </c>
    </row>
    <row r="8" spans="2:8" x14ac:dyDescent="0.25">
      <c r="B8" s="1" t="s">
        <v>11</v>
      </c>
      <c r="C8" s="1">
        <v>82.5</v>
      </c>
      <c r="D8" s="1">
        <v>5</v>
      </c>
      <c r="E8" s="1">
        <v>29</v>
      </c>
      <c r="F8" s="1">
        <f t="shared" si="0"/>
        <v>412.5</v>
      </c>
      <c r="G8" s="1">
        <f t="shared" si="1"/>
        <v>34031.25</v>
      </c>
      <c r="H8" s="1">
        <f t="shared" si="2"/>
        <v>9.5822697427496255</v>
      </c>
    </row>
    <row r="9" spans="2:8" x14ac:dyDescent="0.25">
      <c r="B9" s="1" t="s">
        <v>12</v>
      </c>
      <c r="C9" s="1">
        <v>87.5</v>
      </c>
      <c r="D9" s="1">
        <v>1</v>
      </c>
      <c r="E9" s="1">
        <v>30</v>
      </c>
      <c r="F9" s="1">
        <f t="shared" si="0"/>
        <v>87.5</v>
      </c>
      <c r="G9" s="1">
        <f t="shared" si="1"/>
        <v>7656.25</v>
      </c>
      <c r="H9" s="1">
        <f t="shared" si="2"/>
        <v>1.9420080530223132</v>
      </c>
    </row>
    <row r="10" spans="2:8" x14ac:dyDescent="0.25">
      <c r="B10" s="1" t="s">
        <v>19</v>
      </c>
      <c r="C10" s="1"/>
      <c r="D10" s="1">
        <f>SUM(D4:D9)</f>
        <v>30</v>
      </c>
      <c r="E10" s="1"/>
      <c r="F10" s="1">
        <f t="shared" ref="F10:H10" si="3">SUM(F4:F9)</f>
        <v>2245</v>
      </c>
      <c r="G10" s="1">
        <f t="shared" si="3"/>
        <v>169187.5</v>
      </c>
      <c r="H10" s="1">
        <f t="shared" si="3"/>
        <v>56.175550243928292</v>
      </c>
    </row>
    <row r="11" spans="2:8" x14ac:dyDescent="0.25">
      <c r="B11" s="1"/>
      <c r="C11" s="1"/>
      <c r="D11" s="1"/>
      <c r="E11" s="1"/>
      <c r="F11" s="1"/>
      <c r="G11" s="1"/>
      <c r="H11" s="1"/>
    </row>
    <row r="12" spans="2:8" x14ac:dyDescent="0.25">
      <c r="B12" s="1" t="s">
        <v>15</v>
      </c>
      <c r="C12" s="1">
        <f>SQRT((G10/D10)-(F10/D10)^2)</f>
        <v>6.289320754704411</v>
      </c>
      <c r="D12" s="1"/>
      <c r="E12" s="1"/>
      <c r="F12" s="1"/>
      <c r="G12" s="1"/>
      <c r="H12" s="1"/>
    </row>
    <row r="13" spans="2:8" x14ac:dyDescent="0.25">
      <c r="B13" s="1" t="s">
        <v>16</v>
      </c>
      <c r="C13" s="1">
        <f>10^(H10/D10)</f>
        <v>74.562136102740666</v>
      </c>
      <c r="D13" s="1"/>
      <c r="G13" s="1"/>
      <c r="H13" s="1"/>
    </row>
    <row r="14" spans="2:8" x14ac:dyDescent="0.25">
      <c r="B14" s="1" t="s">
        <v>17</v>
      </c>
      <c r="C14" s="1">
        <f>90-60</f>
        <v>30</v>
      </c>
      <c r="D14" s="1"/>
      <c r="G14" s="1"/>
      <c r="H14" s="1"/>
    </row>
    <row r="15" spans="2:8" x14ac:dyDescent="0.25">
      <c r="B15" s="1" t="s">
        <v>18</v>
      </c>
      <c r="C15" s="1">
        <v>30</v>
      </c>
      <c r="D15" s="1"/>
      <c r="E15" s="1"/>
      <c r="F15" s="1"/>
      <c r="G15" s="1"/>
      <c r="H15" s="1"/>
    </row>
    <row r="16" spans="2:8" x14ac:dyDescent="0.25">
      <c r="D16" s="1"/>
      <c r="E16" s="1"/>
      <c r="F16" s="1"/>
      <c r="G16" s="1"/>
      <c r="H16" s="1"/>
    </row>
    <row r="17" spans="2:8" x14ac:dyDescent="0.25">
      <c r="B17" s="2" t="s">
        <v>13</v>
      </c>
      <c r="C17" s="2" t="s">
        <v>14</v>
      </c>
      <c r="D17" s="1"/>
      <c r="E17" s="1"/>
      <c r="F17" s="1"/>
      <c r="G17" s="1"/>
      <c r="H17" s="1"/>
    </row>
    <row r="18" spans="2:8" x14ac:dyDescent="0.25">
      <c r="B18" s="1">
        <v>65</v>
      </c>
      <c r="C18" s="1">
        <v>3</v>
      </c>
      <c r="D18" s="1"/>
      <c r="E18" s="1"/>
      <c r="F18" s="1"/>
      <c r="G18" s="1"/>
      <c r="H18" s="1"/>
    </row>
    <row r="19" spans="2:8" x14ac:dyDescent="0.25">
      <c r="B19" s="1">
        <v>70</v>
      </c>
      <c r="C19" s="1">
        <v>6</v>
      </c>
      <c r="D19" s="1"/>
      <c r="E19" s="1"/>
      <c r="F19" s="1"/>
      <c r="G19" s="1"/>
      <c r="H19" s="1"/>
    </row>
    <row r="20" spans="2:8" x14ac:dyDescent="0.25">
      <c r="B20" s="1">
        <v>75</v>
      </c>
      <c r="C20" s="1">
        <v>14</v>
      </c>
      <c r="D20" s="1"/>
      <c r="E20" s="1"/>
      <c r="F20" s="1"/>
      <c r="G20" s="1"/>
      <c r="H20" s="1"/>
    </row>
    <row r="21" spans="2:8" x14ac:dyDescent="0.25">
      <c r="B21" s="1">
        <v>80</v>
      </c>
      <c r="C21" s="1">
        <v>24</v>
      </c>
      <c r="D21" s="1"/>
      <c r="E21" s="1"/>
      <c r="F21" s="1"/>
      <c r="G21" s="1"/>
      <c r="H21" s="1"/>
    </row>
    <row r="22" spans="2:8" x14ac:dyDescent="0.25">
      <c r="B22" s="1">
        <v>85</v>
      </c>
      <c r="C22" s="1">
        <v>29</v>
      </c>
      <c r="D22" s="1"/>
      <c r="E22" s="1"/>
      <c r="F22" s="1"/>
      <c r="G22" s="1"/>
      <c r="H22" s="1"/>
    </row>
    <row r="23" spans="2:8" x14ac:dyDescent="0.25">
      <c r="B23" s="1">
        <v>90</v>
      </c>
      <c r="C23" s="1">
        <v>30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1"/>
  <sheetViews>
    <sheetView tabSelected="1" workbookViewId="0">
      <selection activeCell="C11" sqref="C11"/>
    </sheetView>
  </sheetViews>
  <sheetFormatPr defaultRowHeight="15" x14ac:dyDescent="0.25"/>
  <cols>
    <col min="1" max="1" width="9.140625" customWidth="1"/>
    <col min="2" max="2" width="18.42578125" customWidth="1"/>
    <col min="5" max="5" width="10.28515625" customWidth="1"/>
  </cols>
  <sheetData>
    <row r="3" spans="2:8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39</v>
      </c>
      <c r="G3" s="2"/>
      <c r="H3" s="2"/>
    </row>
    <row r="4" spans="2:8" x14ac:dyDescent="0.25">
      <c r="B4" s="3" t="s">
        <v>36</v>
      </c>
      <c r="C4" s="1">
        <v>50.5</v>
      </c>
      <c r="D4" s="1">
        <v>2</v>
      </c>
      <c r="E4" s="1">
        <v>2</v>
      </c>
      <c r="F4" s="1">
        <f>D4*ABS(C4-83.625)</f>
        <v>66.25</v>
      </c>
      <c r="G4" s="1"/>
      <c r="H4" s="1"/>
    </row>
    <row r="5" spans="2:8" x14ac:dyDescent="0.25">
      <c r="B5" s="8" t="s">
        <v>35</v>
      </c>
      <c r="C5" s="9">
        <v>65.5</v>
      </c>
      <c r="D5" s="9">
        <v>4</v>
      </c>
      <c r="E5" s="9">
        <v>6</v>
      </c>
      <c r="F5" s="1">
        <f t="shared" ref="F5:F8" si="0">D5*ABS(C5-83.625)</f>
        <v>72.5</v>
      </c>
      <c r="G5" s="9"/>
      <c r="H5" s="1"/>
    </row>
    <row r="6" spans="2:8" x14ac:dyDescent="0.25">
      <c r="B6" s="10" t="s">
        <v>34</v>
      </c>
      <c r="C6" s="11">
        <v>80.5</v>
      </c>
      <c r="D6" s="11">
        <v>12</v>
      </c>
      <c r="E6" s="11">
        <v>18</v>
      </c>
      <c r="F6" s="1">
        <f t="shared" si="0"/>
        <v>37.5</v>
      </c>
      <c r="G6" t="s">
        <v>37</v>
      </c>
      <c r="H6" s="1"/>
    </row>
    <row r="7" spans="2:8" x14ac:dyDescent="0.25">
      <c r="B7" s="13" t="s">
        <v>33</v>
      </c>
      <c r="C7" s="14">
        <v>95.5</v>
      </c>
      <c r="D7" s="14">
        <v>7</v>
      </c>
      <c r="E7" s="14">
        <v>25</v>
      </c>
      <c r="F7" s="1">
        <f t="shared" si="0"/>
        <v>83.125</v>
      </c>
      <c r="G7" s="1" t="s">
        <v>44</v>
      </c>
      <c r="H7" s="1"/>
    </row>
    <row r="8" spans="2:8" x14ac:dyDescent="0.25">
      <c r="B8" s="3" t="s">
        <v>32</v>
      </c>
      <c r="C8" s="1">
        <v>110.5</v>
      </c>
      <c r="D8" s="1">
        <v>4</v>
      </c>
      <c r="E8" s="1">
        <v>29</v>
      </c>
      <c r="F8" s="1">
        <f t="shared" si="0"/>
        <v>107.5</v>
      </c>
      <c r="G8" s="1"/>
      <c r="H8" s="1"/>
    </row>
    <row r="9" spans="2:8" x14ac:dyDescent="0.25">
      <c r="B9" s="1" t="s">
        <v>19</v>
      </c>
      <c r="C9" s="1"/>
      <c r="D9" s="1">
        <f>SUM(D4:D8)</f>
        <v>29</v>
      </c>
      <c r="E9" s="1"/>
      <c r="F9" s="1">
        <f>SUM(F4:F8)</f>
        <v>366.875</v>
      </c>
      <c r="G9" s="1"/>
      <c r="H9" s="1"/>
    </row>
    <row r="10" spans="2:8" x14ac:dyDescent="0.25">
      <c r="B10" s="1"/>
      <c r="C10" s="1"/>
      <c r="D10" s="1"/>
      <c r="E10" s="1"/>
      <c r="F10" s="1"/>
      <c r="G10" s="1"/>
      <c r="H10" s="1"/>
    </row>
    <row r="11" spans="2:8" x14ac:dyDescent="0.25">
      <c r="B11" s="1" t="s">
        <v>38</v>
      </c>
      <c r="C11" s="1">
        <f>73+((29/2)-6)*15/12</f>
        <v>83.625</v>
      </c>
      <c r="D11" s="1"/>
      <c r="E11" s="1" t="s">
        <v>42</v>
      </c>
      <c r="F11" s="1"/>
      <c r="G11" s="1"/>
      <c r="H11" s="1"/>
    </row>
    <row r="12" spans="2:8" x14ac:dyDescent="0.25">
      <c r="B12" s="1" t="s">
        <v>40</v>
      </c>
      <c r="C12" s="12">
        <f>F9/D9</f>
        <v>12.650862068965518</v>
      </c>
      <c r="D12" s="1"/>
      <c r="E12" t="s">
        <v>43</v>
      </c>
      <c r="G12" s="1"/>
      <c r="H12" s="1"/>
    </row>
    <row r="13" spans="2:8" x14ac:dyDescent="0.25">
      <c r="B13" s="1" t="s">
        <v>41</v>
      </c>
      <c r="C13" s="1">
        <f>88+((7*29/10)-18)*15/7</f>
        <v>92.928571428571431</v>
      </c>
      <c r="D13" s="1"/>
      <c r="E13" s="1"/>
      <c r="F13" s="1"/>
      <c r="G13" s="1"/>
      <c r="H13" s="1"/>
    </row>
    <row r="14" spans="2:8" x14ac:dyDescent="0.25">
      <c r="D14" s="1"/>
      <c r="E14" s="1"/>
      <c r="F14" s="1"/>
      <c r="G14" s="1"/>
      <c r="H14" s="1"/>
    </row>
    <row r="15" spans="2:8" x14ac:dyDescent="0.25">
      <c r="B15" s="2" t="s">
        <v>0</v>
      </c>
      <c r="C15" s="2" t="s">
        <v>2</v>
      </c>
    </row>
    <row r="16" spans="2:8" x14ac:dyDescent="0.25">
      <c r="B16" s="3" t="s">
        <v>36</v>
      </c>
      <c r="C16" s="1">
        <v>2</v>
      </c>
    </row>
    <row r="17" spans="2:5" x14ac:dyDescent="0.25">
      <c r="B17" s="8" t="s">
        <v>35</v>
      </c>
      <c r="C17" s="9">
        <v>4</v>
      </c>
      <c r="E17" t="s">
        <v>45</v>
      </c>
    </row>
    <row r="18" spans="2:5" x14ac:dyDescent="0.25">
      <c r="B18" s="10" t="s">
        <v>34</v>
      </c>
      <c r="C18" s="11">
        <v>12</v>
      </c>
    </row>
    <row r="19" spans="2:5" x14ac:dyDescent="0.25">
      <c r="B19" s="3" t="s">
        <v>33</v>
      </c>
      <c r="C19" s="1">
        <v>7</v>
      </c>
    </row>
    <row r="20" spans="2:5" x14ac:dyDescent="0.25">
      <c r="B20" s="3" t="s">
        <v>32</v>
      </c>
      <c r="C20" s="1">
        <v>4</v>
      </c>
    </row>
    <row r="21" spans="2:5" x14ac:dyDescent="0.25">
      <c r="B21" s="1"/>
      <c r="C21" s="1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 B</vt:lpstr>
      <vt:lpstr>Section D</vt:lpstr>
      <vt:lpstr>Section 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2025-03-16T05:28:05Z</dcterms:modified>
</cp:coreProperties>
</file>