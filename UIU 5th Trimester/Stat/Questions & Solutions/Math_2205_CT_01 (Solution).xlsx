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htab\Dropbox\253 Fall 2025\MATH_2205\"/>
    </mc:Choice>
  </mc:AlternateContent>
  <xr:revisionPtr revIDLastSave="0" documentId="13_ncr:1_{3C3A81B9-B96F-4F96-8A0B-889246D071E4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E" sheetId="1" r:id="rId1"/>
    <sheet name="G" sheetId="2" r:id="rId2"/>
    <sheet name="O" sheetId="3" r:id="rId3"/>
    <sheet name="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4" l="1"/>
  <c r="C15" i="4" l="1"/>
  <c r="I7" i="4"/>
  <c r="H7" i="4"/>
  <c r="I6" i="4"/>
  <c r="I5" i="4"/>
  <c r="I4" i="4"/>
  <c r="I3" i="4"/>
  <c r="H6" i="4"/>
  <c r="H5" i="4"/>
  <c r="H4" i="4"/>
  <c r="H3" i="4"/>
  <c r="C13" i="4"/>
  <c r="C11" i="4"/>
  <c r="G7" i="4"/>
  <c r="G6" i="4"/>
  <c r="G5" i="4"/>
  <c r="G4" i="4"/>
  <c r="G3" i="4"/>
  <c r="E7" i="4"/>
  <c r="C18" i="3"/>
  <c r="H12" i="3"/>
  <c r="H11" i="3"/>
  <c r="H10" i="3"/>
  <c r="H9" i="3"/>
  <c r="H8" i="3"/>
  <c r="F17" i="3"/>
  <c r="C16" i="3"/>
  <c r="G12" i="3"/>
  <c r="C14" i="3" s="1"/>
  <c r="G11" i="3"/>
  <c r="G10" i="3"/>
  <c r="G9" i="3"/>
  <c r="G8" i="3"/>
  <c r="F5" i="3"/>
  <c r="E12" i="3"/>
  <c r="C22" i="1" l="1"/>
  <c r="I14" i="1"/>
  <c r="H14" i="1"/>
  <c r="I13" i="1"/>
  <c r="I12" i="1"/>
  <c r="I11" i="1"/>
  <c r="I10" i="1"/>
  <c r="H13" i="1"/>
  <c r="H12" i="1"/>
  <c r="H11" i="1"/>
  <c r="H10" i="1"/>
  <c r="F20" i="1"/>
  <c r="C18" i="1"/>
  <c r="G14" i="1"/>
  <c r="G13" i="1"/>
  <c r="G12" i="1"/>
  <c r="G11" i="1"/>
  <c r="G10" i="1"/>
  <c r="G16" i="1"/>
  <c r="F7" i="1"/>
  <c r="F6" i="1"/>
  <c r="E14" i="1"/>
  <c r="C16" i="2" l="1"/>
  <c r="C15" i="2"/>
  <c r="G7" i="2"/>
  <c r="E7" i="2"/>
  <c r="G6" i="2"/>
  <c r="G5" i="2"/>
  <c r="G4" i="2"/>
  <c r="G3" i="2"/>
  <c r="C14" i="2"/>
  <c r="G12" i="2"/>
  <c r="C9" i="2"/>
</calcChain>
</file>

<file path=xl/sharedStrings.xml><?xml version="1.0" encoding="utf-8"?>
<sst xmlns="http://schemas.openxmlformats.org/spreadsheetml/2006/main" count="94" uniqueCount="48">
  <si>
    <t>Class</t>
  </si>
  <si>
    <t>0-1</t>
  </si>
  <si>
    <t>1-2</t>
  </si>
  <si>
    <t>2-3</t>
  </si>
  <si>
    <t>3-4</t>
  </si>
  <si>
    <t>x</t>
  </si>
  <si>
    <t>f</t>
  </si>
  <si>
    <t>F</t>
  </si>
  <si>
    <t>Range</t>
  </si>
  <si>
    <t>Sample size</t>
  </si>
  <si>
    <t>Percentage of the students attained the CGPA within 1-3</t>
  </si>
  <si>
    <t>%</t>
  </si>
  <si>
    <t>Mode</t>
  </si>
  <si>
    <t>Modal class</t>
  </si>
  <si>
    <t>f*|x-Mo|</t>
  </si>
  <si>
    <t>Sum</t>
  </si>
  <si>
    <t>CGPA</t>
  </si>
  <si>
    <t>Number of Students</t>
  </si>
  <si>
    <t>Cummulative sum of Students</t>
  </si>
  <si>
    <t>b</t>
  </si>
  <si>
    <t>a</t>
  </si>
  <si>
    <t>Number of the students attained more than CGPA 2</t>
  </si>
  <si>
    <t>HM</t>
  </si>
  <si>
    <t>f/x</t>
  </si>
  <si>
    <t>Percentage of the students in the Median class</t>
  </si>
  <si>
    <t>Median class</t>
  </si>
  <si>
    <t xml:space="preserve">f*x^2 </t>
  </si>
  <si>
    <t>f*x</t>
  </si>
  <si>
    <t>SD</t>
  </si>
  <si>
    <t>Hours Studied per Week</t>
  </si>
  <si>
    <t>10-15</t>
  </si>
  <si>
    <t>15-20</t>
  </si>
  <si>
    <t>20-25</t>
  </si>
  <si>
    <t>5-10</t>
  </si>
  <si>
    <t>GM</t>
  </si>
  <si>
    <t>f*log(x)</t>
  </si>
  <si>
    <t>Me</t>
  </si>
  <si>
    <t>f*|x-Me|</t>
  </si>
  <si>
    <t>MD (Mo)</t>
  </si>
  <si>
    <t>CMD (Mo)</t>
  </si>
  <si>
    <t>MD (Me)</t>
  </si>
  <si>
    <t>D_3 class</t>
  </si>
  <si>
    <t>D_3</t>
  </si>
  <si>
    <t>50/2=25</t>
  </si>
  <si>
    <t>60/2 = 30</t>
  </si>
  <si>
    <t>Mo</t>
  </si>
  <si>
    <t>f*x^2</t>
  </si>
  <si>
    <t>3*50/10=15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</si>
</sst>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workbookViewId="0">
      <selection activeCell="G24" sqref="G24"/>
    </sheetView>
  </sheetViews>
  <sheetFormatPr defaultRowHeight="15" x14ac:dyDescent="0.25"/>
  <cols>
    <col min="2" max="2" width="10" customWidth="1"/>
    <col min="3" max="3" width="9.140625" customWidth="1"/>
    <col min="10" max="10" width="13.28515625" customWidth="1"/>
  </cols>
  <sheetData>
    <row r="2" spans="2:10" x14ac:dyDescent="0.25">
      <c r="B2" s="19" t="s">
        <v>16</v>
      </c>
      <c r="C2" s="19"/>
      <c r="D2" s="19"/>
      <c r="E2" s="1" t="s">
        <v>1</v>
      </c>
      <c r="F2" s="2" t="s">
        <v>2</v>
      </c>
      <c r="G2" s="2" t="s">
        <v>3</v>
      </c>
      <c r="H2" s="2" t="s">
        <v>4</v>
      </c>
    </row>
    <row r="3" spans="2:10" ht="16.5" customHeight="1" x14ac:dyDescent="0.25">
      <c r="B3" s="19" t="s">
        <v>17</v>
      </c>
      <c r="C3" s="19"/>
      <c r="D3" s="19"/>
      <c r="E3" s="1">
        <v>7</v>
      </c>
      <c r="F3" s="1">
        <v>20</v>
      </c>
      <c r="G3" s="1">
        <v>23</v>
      </c>
      <c r="H3" s="1" t="s">
        <v>19</v>
      </c>
    </row>
    <row r="4" spans="2:10" ht="16.5" customHeight="1" x14ac:dyDescent="0.25">
      <c r="B4" s="19" t="s">
        <v>18</v>
      </c>
      <c r="C4" s="19"/>
      <c r="D4" s="19"/>
      <c r="E4" s="1" t="s">
        <v>20</v>
      </c>
      <c r="F4" s="1">
        <v>27</v>
      </c>
      <c r="G4" s="1">
        <v>50</v>
      </c>
      <c r="H4" s="1">
        <v>60</v>
      </c>
    </row>
    <row r="6" spans="2:10" x14ac:dyDescent="0.25">
      <c r="E6" s="10" t="s">
        <v>20</v>
      </c>
      <c r="F6" s="10">
        <f>7</f>
        <v>7</v>
      </c>
    </row>
    <row r="7" spans="2:10" x14ac:dyDescent="0.25">
      <c r="E7" s="10" t="s">
        <v>19</v>
      </c>
      <c r="F7" s="10">
        <f>60-50</f>
        <v>10</v>
      </c>
    </row>
    <row r="9" spans="2:10" x14ac:dyDescent="0.25">
      <c r="C9" s="1" t="s">
        <v>0</v>
      </c>
      <c r="D9" s="1" t="s">
        <v>5</v>
      </c>
      <c r="E9" s="1" t="s">
        <v>6</v>
      </c>
      <c r="F9" s="1" t="s">
        <v>7</v>
      </c>
      <c r="G9" s="1" t="s">
        <v>23</v>
      </c>
      <c r="H9" s="1" t="s">
        <v>27</v>
      </c>
      <c r="I9" s="1" t="s">
        <v>26</v>
      </c>
    </row>
    <row r="10" spans="2:10" x14ac:dyDescent="0.25">
      <c r="C10" s="1" t="s">
        <v>1</v>
      </c>
      <c r="D10" s="1">
        <v>0.5</v>
      </c>
      <c r="E10" s="1">
        <v>7</v>
      </c>
      <c r="F10" s="1">
        <v>7</v>
      </c>
      <c r="G10" s="1">
        <f>E10/D10</f>
        <v>14</v>
      </c>
      <c r="H10" s="1">
        <f>E10*D10</f>
        <v>3.5</v>
      </c>
      <c r="I10" s="1">
        <f>E10*D10^2</f>
        <v>1.75</v>
      </c>
    </row>
    <row r="11" spans="2:10" x14ac:dyDescent="0.25">
      <c r="C11" s="2" t="s">
        <v>2</v>
      </c>
      <c r="D11" s="1">
        <v>1.5</v>
      </c>
      <c r="E11" s="1">
        <v>20</v>
      </c>
      <c r="F11" s="1">
        <v>27</v>
      </c>
      <c r="G11" s="1">
        <f t="shared" ref="G11:G13" si="0">E11/D11</f>
        <v>13.333333333333334</v>
      </c>
      <c r="H11" s="1">
        <f t="shared" ref="H11:H13" si="1">E11*D11</f>
        <v>30</v>
      </c>
      <c r="I11" s="1">
        <f t="shared" ref="I11:I13" si="2">E11*D11^2</f>
        <v>45</v>
      </c>
    </row>
    <row r="12" spans="2:10" x14ac:dyDescent="0.25">
      <c r="B12" s="7" t="s">
        <v>44</v>
      </c>
      <c r="C12" s="6" t="s">
        <v>3</v>
      </c>
      <c r="D12" s="7">
        <v>2.5</v>
      </c>
      <c r="E12" s="7">
        <v>23</v>
      </c>
      <c r="F12" s="7">
        <v>50</v>
      </c>
      <c r="G12" s="1">
        <f t="shared" si="0"/>
        <v>9.1999999999999993</v>
      </c>
      <c r="H12" s="1">
        <f t="shared" si="1"/>
        <v>57.5</v>
      </c>
      <c r="I12" s="1">
        <f t="shared" si="2"/>
        <v>143.75</v>
      </c>
      <c r="J12" s="15" t="s">
        <v>25</v>
      </c>
    </row>
    <row r="13" spans="2:10" x14ac:dyDescent="0.25">
      <c r="C13" s="2" t="s">
        <v>4</v>
      </c>
      <c r="D13" s="1">
        <v>3.5</v>
      </c>
      <c r="E13" s="1">
        <v>10</v>
      </c>
      <c r="F13" s="1">
        <v>60</v>
      </c>
      <c r="G13" s="1">
        <f t="shared" si="0"/>
        <v>2.8571428571428572</v>
      </c>
      <c r="H13" s="1">
        <f t="shared" si="1"/>
        <v>35</v>
      </c>
      <c r="I13" s="1">
        <f t="shared" si="2"/>
        <v>122.5</v>
      </c>
    </row>
    <row r="14" spans="2:10" x14ac:dyDescent="0.25">
      <c r="B14" s="13" t="s">
        <v>15</v>
      </c>
      <c r="C14" s="14"/>
      <c r="D14" s="14"/>
      <c r="E14" s="14">
        <f>SUM(E10:E13)</f>
        <v>60</v>
      </c>
      <c r="F14" s="14"/>
      <c r="G14" s="14">
        <f>SUM(G10:G13)</f>
        <v>39.390476190476186</v>
      </c>
      <c r="H14" s="14">
        <f t="shared" ref="H14:I14" si="3">SUM(H10:H13)</f>
        <v>126</v>
      </c>
      <c r="I14" s="14">
        <f t="shared" si="3"/>
        <v>313</v>
      </c>
    </row>
    <row r="16" spans="2:10" ht="15.75" x14ac:dyDescent="0.25">
      <c r="B16" s="9" t="s">
        <v>21</v>
      </c>
      <c r="G16" s="1">
        <f>23+10</f>
        <v>33</v>
      </c>
    </row>
    <row r="18" spans="2:7" x14ac:dyDescent="0.25">
      <c r="B18" t="s">
        <v>22</v>
      </c>
      <c r="C18" s="1">
        <f>E14/G14</f>
        <v>1.5232108317214703</v>
      </c>
    </row>
    <row r="20" spans="2:7" ht="15.75" x14ac:dyDescent="0.25">
      <c r="B20" s="9" t="s">
        <v>24</v>
      </c>
      <c r="F20">
        <f>23*100/60</f>
        <v>38.333333333333336</v>
      </c>
      <c r="G20" t="s">
        <v>11</v>
      </c>
    </row>
    <row r="22" spans="2:7" x14ac:dyDescent="0.25">
      <c r="B22" t="s">
        <v>28</v>
      </c>
      <c r="C22" s="1">
        <f>SQRT((I14/E14)-(H14/E14)^2)</f>
        <v>0.89814623902049862</v>
      </c>
    </row>
  </sheetData>
  <mergeCells count="3">
    <mergeCell ref="B4:D4"/>
    <mergeCell ref="B2:D2"/>
    <mergeCell ref="B3:D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C52F-6387-4B70-A542-407863CB5C21}">
  <dimension ref="B2:H16"/>
  <sheetViews>
    <sheetView workbookViewId="0">
      <selection activeCell="H17" sqref="H17"/>
    </sheetView>
  </sheetViews>
  <sheetFormatPr defaultRowHeight="15" x14ac:dyDescent="0.25"/>
  <cols>
    <col min="2" max="2" width="13.5703125" customWidth="1"/>
    <col min="7" max="7" width="9.140625" customWidth="1"/>
    <col min="8" max="8" width="14.42578125" customWidth="1"/>
  </cols>
  <sheetData>
    <row r="2" spans="2:8" x14ac:dyDescent="0.25">
      <c r="C2" s="1" t="s">
        <v>0</v>
      </c>
      <c r="D2" s="1" t="s">
        <v>5</v>
      </c>
      <c r="E2" s="1" t="s">
        <v>6</v>
      </c>
      <c r="F2" s="1" t="s">
        <v>7</v>
      </c>
      <c r="G2" s="1" t="s">
        <v>14</v>
      </c>
    </row>
    <row r="3" spans="2:8" x14ac:dyDescent="0.25">
      <c r="C3" s="1" t="s">
        <v>1</v>
      </c>
      <c r="D3" s="1">
        <v>0.5</v>
      </c>
      <c r="E3" s="1">
        <v>7</v>
      </c>
      <c r="F3" s="1">
        <v>7</v>
      </c>
      <c r="G3" s="1">
        <f>E3*ABS(D3-2.1875)</f>
        <v>11.8125</v>
      </c>
    </row>
    <row r="4" spans="2:8" x14ac:dyDescent="0.25">
      <c r="C4" s="2" t="s">
        <v>2</v>
      </c>
      <c r="D4" s="1">
        <v>1.5</v>
      </c>
      <c r="E4" s="1">
        <v>20</v>
      </c>
      <c r="F4" s="1">
        <v>27</v>
      </c>
      <c r="G4" s="1">
        <f t="shared" ref="G4:G6" si="0">E4*ABS(D4-2.1875)</f>
        <v>13.75</v>
      </c>
    </row>
    <row r="5" spans="2:8" x14ac:dyDescent="0.25">
      <c r="C5" s="16" t="s">
        <v>3</v>
      </c>
      <c r="D5" s="17">
        <v>2.5</v>
      </c>
      <c r="E5" s="18">
        <v>23</v>
      </c>
      <c r="F5" s="17">
        <v>50</v>
      </c>
      <c r="G5" s="1">
        <f t="shared" si="0"/>
        <v>7.1875</v>
      </c>
      <c r="H5" s="17" t="s">
        <v>13</v>
      </c>
    </row>
    <row r="6" spans="2:8" x14ac:dyDescent="0.25">
      <c r="C6" s="2" t="s">
        <v>4</v>
      </c>
      <c r="D6" s="1">
        <v>3.5</v>
      </c>
      <c r="E6" s="1">
        <v>10</v>
      </c>
      <c r="F6" s="1">
        <v>60</v>
      </c>
      <c r="G6" s="1">
        <f t="shared" si="0"/>
        <v>13.125</v>
      </c>
    </row>
    <row r="7" spans="2:8" x14ac:dyDescent="0.25">
      <c r="B7" s="13" t="s">
        <v>15</v>
      </c>
      <c r="C7" s="14"/>
      <c r="D7" s="14"/>
      <c r="E7" s="14">
        <f>SUM(E3:E6)</f>
        <v>60</v>
      </c>
      <c r="F7" s="14"/>
      <c r="G7" s="14">
        <f>SUM(G3:G6)</f>
        <v>45.875</v>
      </c>
    </row>
    <row r="8" spans="2:8" x14ac:dyDescent="0.25">
      <c r="C8" s="1"/>
      <c r="D8" s="1"/>
      <c r="E8" s="1"/>
      <c r="F8" s="1"/>
      <c r="G8" s="1"/>
    </row>
    <row r="9" spans="2:8" x14ac:dyDescent="0.25">
      <c r="B9" s="3" t="s">
        <v>8</v>
      </c>
      <c r="C9" s="1">
        <f>4-0</f>
        <v>4</v>
      </c>
      <c r="D9" s="1"/>
      <c r="E9" s="1"/>
      <c r="F9" s="1"/>
      <c r="G9" s="1"/>
    </row>
    <row r="10" spans="2:8" x14ac:dyDescent="0.25">
      <c r="B10" s="3" t="s">
        <v>9</v>
      </c>
      <c r="C10" s="1">
        <v>60</v>
      </c>
      <c r="D10" s="1"/>
      <c r="E10" s="1"/>
      <c r="F10" s="1"/>
      <c r="G10" s="1"/>
    </row>
    <row r="11" spans="2:8" x14ac:dyDescent="0.25">
      <c r="B11" s="4"/>
    </row>
    <row r="12" spans="2:8" x14ac:dyDescent="0.25">
      <c r="B12" s="4" t="s">
        <v>10</v>
      </c>
      <c r="G12" s="1">
        <f>(20+23)*100/60</f>
        <v>71.666666666666671</v>
      </c>
      <c r="H12" t="s">
        <v>11</v>
      </c>
    </row>
    <row r="14" spans="2:8" x14ac:dyDescent="0.25">
      <c r="B14" t="s">
        <v>12</v>
      </c>
      <c r="C14" s="8">
        <f>2+(3/(3+13))*1</f>
        <v>2.1875</v>
      </c>
    </row>
    <row r="15" spans="2:8" x14ac:dyDescent="0.25">
      <c r="B15" t="s">
        <v>38</v>
      </c>
      <c r="C15" s="1">
        <f>G7/E7</f>
        <v>0.76458333333333328</v>
      </c>
    </row>
    <row r="16" spans="2:8" x14ac:dyDescent="0.25">
      <c r="B16" t="s">
        <v>39</v>
      </c>
      <c r="C16" s="1">
        <f>C15*100/C14</f>
        <v>34.952380952380949</v>
      </c>
      <c r="D16" t="s">
        <v>11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B188-8A32-47A0-976D-DC243F56AB00}">
  <dimension ref="B2:I18"/>
  <sheetViews>
    <sheetView workbookViewId="0">
      <selection activeCell="K14" sqref="K14"/>
    </sheetView>
  </sheetViews>
  <sheetFormatPr defaultRowHeight="15" x14ac:dyDescent="0.25"/>
  <cols>
    <col min="2" max="2" width="13" customWidth="1"/>
    <col min="9" max="9" width="13.140625" customWidth="1"/>
  </cols>
  <sheetData>
    <row r="2" spans="2:9" x14ac:dyDescent="0.25">
      <c r="B2" s="19" t="s">
        <v>29</v>
      </c>
      <c r="C2" s="19"/>
      <c r="D2" s="19"/>
      <c r="E2" s="2" t="s">
        <v>33</v>
      </c>
      <c r="F2" s="2" t="s">
        <v>30</v>
      </c>
      <c r="G2" s="2" t="s">
        <v>31</v>
      </c>
      <c r="H2" s="2" t="s">
        <v>32</v>
      </c>
    </row>
    <row r="3" spans="2:9" x14ac:dyDescent="0.25">
      <c r="B3" s="19" t="s">
        <v>17</v>
      </c>
      <c r="C3" s="19"/>
      <c r="D3" s="19"/>
      <c r="E3" s="1">
        <v>9</v>
      </c>
      <c r="F3" s="1">
        <v>16</v>
      </c>
      <c r="G3" s="1" t="s">
        <v>20</v>
      </c>
      <c r="H3" s="1">
        <v>11</v>
      </c>
    </row>
    <row r="5" spans="2:9" x14ac:dyDescent="0.25">
      <c r="E5" s="10" t="s">
        <v>20</v>
      </c>
      <c r="F5" s="10">
        <f>50-(9+16+11)</f>
        <v>14</v>
      </c>
    </row>
    <row r="7" spans="2:9" x14ac:dyDescent="0.25">
      <c r="C7" s="1" t="s">
        <v>0</v>
      </c>
      <c r="D7" s="1" t="s">
        <v>5</v>
      </c>
      <c r="E7" s="1" t="s">
        <v>6</v>
      </c>
      <c r="F7" s="1" t="s">
        <v>7</v>
      </c>
      <c r="G7" s="1" t="s">
        <v>35</v>
      </c>
      <c r="H7" s="1" t="s">
        <v>37</v>
      </c>
      <c r="I7" s="1"/>
    </row>
    <row r="8" spans="2:9" x14ac:dyDescent="0.25">
      <c r="C8" s="2" t="s">
        <v>33</v>
      </c>
      <c r="D8" s="1">
        <v>7.5</v>
      </c>
      <c r="E8" s="1">
        <v>9</v>
      </c>
      <c r="F8" s="1">
        <v>9</v>
      </c>
      <c r="G8" s="1">
        <f>E8*LOG(D8)</f>
        <v>7.8755513705253009</v>
      </c>
      <c r="H8" s="1">
        <f>E8*ABS(D8-15)</f>
        <v>67.5</v>
      </c>
      <c r="I8" s="1"/>
    </row>
    <row r="9" spans="2:9" x14ac:dyDescent="0.25">
      <c r="B9" s="7" t="s">
        <v>43</v>
      </c>
      <c r="C9" s="6" t="s">
        <v>30</v>
      </c>
      <c r="D9" s="7">
        <v>12.5</v>
      </c>
      <c r="E9" s="7">
        <v>16</v>
      </c>
      <c r="F9" s="7">
        <v>25</v>
      </c>
      <c r="G9" s="1">
        <f t="shared" ref="G9:G11" si="0">E9*LOG(D9)</f>
        <v>17.550560208128903</v>
      </c>
      <c r="H9" s="1">
        <f t="shared" ref="H9:H11" si="1">E9*ABS(D9-15)</f>
        <v>40</v>
      </c>
      <c r="I9" s="7" t="s">
        <v>25</v>
      </c>
    </row>
    <row r="10" spans="2:9" x14ac:dyDescent="0.25">
      <c r="B10" s="5"/>
      <c r="C10" s="11" t="s">
        <v>31</v>
      </c>
      <c r="D10" s="12">
        <v>17.5</v>
      </c>
      <c r="E10" s="12">
        <v>14</v>
      </c>
      <c r="F10" s="12">
        <v>39</v>
      </c>
      <c r="G10" s="1">
        <f t="shared" si="0"/>
        <v>17.402532681608122</v>
      </c>
      <c r="H10" s="1">
        <f t="shared" si="1"/>
        <v>35</v>
      </c>
      <c r="I10" s="1"/>
    </row>
    <row r="11" spans="2:9" x14ac:dyDescent="0.25">
      <c r="C11" s="2" t="s">
        <v>32</v>
      </c>
      <c r="D11" s="1">
        <v>22.5</v>
      </c>
      <c r="E11" s="1">
        <v>11</v>
      </c>
      <c r="F11" s="1">
        <v>50</v>
      </c>
      <c r="G11" s="1">
        <f t="shared" si="0"/>
        <v>14.874007699224988</v>
      </c>
      <c r="H11" s="1">
        <f t="shared" si="1"/>
        <v>82.5</v>
      </c>
      <c r="I11" s="1"/>
    </row>
    <row r="12" spans="2:9" x14ac:dyDescent="0.25">
      <c r="B12" s="13" t="s">
        <v>15</v>
      </c>
      <c r="C12" s="14"/>
      <c r="D12" s="14"/>
      <c r="E12" s="14">
        <f>SUM(E8:E11)</f>
        <v>50</v>
      </c>
      <c r="F12" s="14"/>
      <c r="G12" s="14">
        <f>SUM(G8:G11)</f>
        <v>57.702651959487312</v>
      </c>
      <c r="H12" s="14">
        <f>SUM(H8:H11)</f>
        <v>225</v>
      </c>
      <c r="I12" s="1"/>
    </row>
    <row r="14" spans="2:9" x14ac:dyDescent="0.25">
      <c r="B14" t="s">
        <v>34</v>
      </c>
      <c r="C14" s="1">
        <f>10^(G12/E12)</f>
        <v>14.257817097657778</v>
      </c>
    </row>
    <row r="15" spans="2:9" x14ac:dyDescent="0.25">
      <c r="C15" s="1"/>
    </row>
    <row r="16" spans="2:9" x14ac:dyDescent="0.25">
      <c r="B16" t="s">
        <v>36</v>
      </c>
      <c r="C16" s="1">
        <f>10+((25-9)/16)*5</f>
        <v>15</v>
      </c>
    </row>
    <row r="17" spans="2:7" ht="15.75" x14ac:dyDescent="0.25">
      <c r="B17" s="9" t="s">
        <v>24</v>
      </c>
      <c r="F17" s="1">
        <f>16*100/50</f>
        <v>32</v>
      </c>
      <c r="G17" t="s">
        <v>11</v>
      </c>
    </row>
    <row r="18" spans="2:7" x14ac:dyDescent="0.25">
      <c r="B18" t="s">
        <v>40</v>
      </c>
      <c r="C18" s="1">
        <f>H12/E12</f>
        <v>4.5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2C72-E337-4BA9-B9EE-1D3B9F1A3FDD}">
  <dimension ref="B2:K15"/>
  <sheetViews>
    <sheetView tabSelected="1" workbookViewId="0">
      <selection activeCell="G13" sqref="G13"/>
    </sheetView>
  </sheetViews>
  <sheetFormatPr defaultRowHeight="15" x14ac:dyDescent="0.25"/>
  <cols>
    <col min="2" max="2" width="14.140625" customWidth="1"/>
    <col min="10" max="10" width="13.42578125" customWidth="1"/>
  </cols>
  <sheetData>
    <row r="2" spans="2:11" x14ac:dyDescent="0.25">
      <c r="C2" s="1" t="s">
        <v>0</v>
      </c>
      <c r="D2" s="1" t="s">
        <v>5</v>
      </c>
      <c r="E2" s="1" t="s">
        <v>6</v>
      </c>
      <c r="F2" s="1" t="s">
        <v>7</v>
      </c>
      <c r="G2" s="1" t="s">
        <v>23</v>
      </c>
      <c r="H2" s="1" t="s">
        <v>27</v>
      </c>
      <c r="I2" s="1" t="s">
        <v>46</v>
      </c>
    </row>
    <row r="3" spans="2:11" x14ac:dyDescent="0.25">
      <c r="B3" s="20"/>
      <c r="C3" s="11" t="s">
        <v>33</v>
      </c>
      <c r="D3" s="12">
        <v>7.5</v>
      </c>
      <c r="E3" s="12">
        <v>9</v>
      </c>
      <c r="F3" s="12">
        <v>9</v>
      </c>
      <c r="G3" s="12">
        <f>E3/D3</f>
        <v>1.2</v>
      </c>
      <c r="H3" s="1">
        <f>E3*D3</f>
        <v>67.5</v>
      </c>
      <c r="I3" s="1">
        <f>E3*D3^2</f>
        <v>506.25</v>
      </c>
    </row>
    <row r="4" spans="2:11" x14ac:dyDescent="0.25">
      <c r="B4" s="21" t="s">
        <v>47</v>
      </c>
      <c r="C4" s="22" t="s">
        <v>30</v>
      </c>
      <c r="D4" s="21">
        <v>12.5</v>
      </c>
      <c r="E4" s="23">
        <v>16</v>
      </c>
      <c r="F4" s="21">
        <v>25</v>
      </c>
      <c r="G4" s="1">
        <f t="shared" ref="G4:G6" si="0">E4/D4</f>
        <v>1.28</v>
      </c>
      <c r="H4" s="1">
        <f t="shared" ref="H4:H6" si="1">E4*D4</f>
        <v>200</v>
      </c>
      <c r="I4" s="1">
        <f t="shared" ref="I4:I6" si="2">E4*D4^2</f>
        <v>2500</v>
      </c>
      <c r="J4" s="21" t="s">
        <v>13</v>
      </c>
      <c r="K4" s="21" t="s">
        <v>41</v>
      </c>
    </row>
    <row r="5" spans="2:11" x14ac:dyDescent="0.25">
      <c r="B5" s="5"/>
      <c r="C5" s="11" t="s">
        <v>31</v>
      </c>
      <c r="D5" s="12">
        <v>17.5</v>
      </c>
      <c r="E5" s="12">
        <v>14</v>
      </c>
      <c r="F5" s="12">
        <v>39</v>
      </c>
      <c r="G5" s="1">
        <f t="shared" si="0"/>
        <v>0.8</v>
      </c>
      <c r="H5" s="1">
        <f t="shared" si="1"/>
        <v>245</v>
      </c>
      <c r="I5" s="1">
        <f t="shared" si="2"/>
        <v>4287.5</v>
      </c>
    </row>
    <row r="6" spans="2:11" x14ac:dyDescent="0.25">
      <c r="C6" s="2" t="s">
        <v>32</v>
      </c>
      <c r="D6" s="1">
        <v>22.5</v>
      </c>
      <c r="E6" s="1">
        <v>11</v>
      </c>
      <c r="F6" s="1">
        <v>50</v>
      </c>
      <c r="G6" s="1">
        <f t="shared" si="0"/>
        <v>0.48888888888888887</v>
      </c>
      <c r="H6" s="1">
        <f t="shared" si="1"/>
        <v>247.5</v>
      </c>
      <c r="I6" s="1">
        <f t="shared" si="2"/>
        <v>5568.75</v>
      </c>
    </row>
    <row r="7" spans="2:11" x14ac:dyDescent="0.25">
      <c r="B7" s="13" t="s">
        <v>15</v>
      </c>
      <c r="C7" s="14"/>
      <c r="D7" s="14"/>
      <c r="E7" s="14">
        <f>SUM(E3:E6)</f>
        <v>50</v>
      </c>
      <c r="F7" s="14"/>
      <c r="G7" s="14">
        <f>SUM(G3:G6)</f>
        <v>3.7688888888888892</v>
      </c>
      <c r="H7" s="14">
        <f t="shared" ref="H7:I7" si="3">SUM(H3:H6)</f>
        <v>760</v>
      </c>
      <c r="I7" s="14">
        <f t="shared" si="3"/>
        <v>12862.5</v>
      </c>
    </row>
    <row r="9" spans="2:11" x14ac:dyDescent="0.25">
      <c r="B9" t="s">
        <v>42</v>
      </c>
      <c r="C9" s="1">
        <f>10+((15-9)/16)*5</f>
        <v>11.875</v>
      </c>
    </row>
    <row r="11" spans="2:11" x14ac:dyDescent="0.25">
      <c r="B11" t="s">
        <v>22</v>
      </c>
      <c r="C11" s="1">
        <f>E7/G7</f>
        <v>13.266509433962263</v>
      </c>
    </row>
    <row r="13" spans="2:11" x14ac:dyDescent="0.25">
      <c r="B13" t="s">
        <v>45</v>
      </c>
      <c r="C13" s="1">
        <f>10+(7/(7+2))*5</f>
        <v>13.888888888888889</v>
      </c>
    </row>
    <row r="15" spans="2:11" x14ac:dyDescent="0.25">
      <c r="B15" t="s">
        <v>28</v>
      </c>
      <c r="C15" s="1">
        <f>SQRT((I7/E7)-(H7/E7)^2)</f>
        <v>5.1195702944680823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</vt:lpstr>
      <vt:lpstr>G</vt:lpstr>
      <vt:lpstr>O</vt:lpstr>
      <vt:lpstr>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Uddin</dc:creator>
  <cp:lastModifiedBy>Mahtab Uddin</cp:lastModifiedBy>
  <dcterms:created xsi:type="dcterms:W3CDTF">2015-06-05T18:17:20Z</dcterms:created>
  <dcterms:modified xsi:type="dcterms:W3CDTF">2025-12-06T04:10:55Z</dcterms:modified>
</cp:coreProperties>
</file>