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0" yWindow="0" windowWidth="15600" windowHeight="11760" firstSheet="1" activeTab="6"/>
  </bookViews>
  <sheets>
    <sheet name="Raw data" sheetId="1" r:id="rId1"/>
    <sheet name="Frequency table" sheetId="2" r:id="rId2"/>
    <sheet name="Visualizations" sheetId="4" r:id="rId3"/>
    <sheet name="Central values" sheetId="3" r:id="rId4"/>
    <sheet name="Dispersions" sheetId="5" r:id="rId5"/>
    <sheet name="Nature" sheetId="6" r:id="rId6"/>
    <sheet name="Cor-Reg" sheetId="7" r:id="rId7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7" l="1"/>
  <c r="K7" i="7"/>
  <c r="K6" i="7"/>
  <c r="L6" i="7" s="1"/>
  <c r="K5" i="7"/>
  <c r="L5" i="7" s="1"/>
  <c r="K4" i="7"/>
  <c r="L4" i="7" s="1"/>
  <c r="K3" i="7"/>
  <c r="L3" i="7" s="1"/>
  <c r="L9" i="7" l="1"/>
  <c r="L11" i="7" s="1"/>
  <c r="D11" i="7" l="1"/>
  <c r="C21" i="7" s="1"/>
  <c r="C11" i="7"/>
  <c r="C20" i="7" s="1"/>
  <c r="G10" i="7" l="1"/>
  <c r="G9" i="7"/>
  <c r="G8" i="7"/>
  <c r="G7" i="7"/>
  <c r="G6" i="7"/>
  <c r="G5" i="7"/>
  <c r="G4" i="7"/>
  <c r="G3" i="7"/>
  <c r="F10" i="7"/>
  <c r="F9" i="7"/>
  <c r="F8" i="7"/>
  <c r="F7" i="7"/>
  <c r="F6" i="7"/>
  <c r="F5" i="7"/>
  <c r="F4" i="7"/>
  <c r="F3" i="7"/>
  <c r="E10" i="7"/>
  <c r="E9" i="7"/>
  <c r="E8" i="7"/>
  <c r="E7" i="7"/>
  <c r="E6" i="7"/>
  <c r="E5" i="7"/>
  <c r="E4" i="7"/>
  <c r="E3" i="7"/>
  <c r="G11" i="7" l="1"/>
  <c r="E11" i="7"/>
  <c r="C17" i="7" s="1"/>
  <c r="F11" i="7"/>
  <c r="C15" i="7" s="1"/>
  <c r="C18" i="7"/>
  <c r="F11" i="6"/>
  <c r="I9" i="6"/>
  <c r="H9" i="6"/>
  <c r="G9" i="6"/>
  <c r="K9" i="6" s="1"/>
  <c r="G8" i="6"/>
  <c r="K8" i="6" s="1"/>
  <c r="G7" i="6"/>
  <c r="K7" i="6" s="1"/>
  <c r="K6" i="6"/>
  <c r="G6" i="6"/>
  <c r="J6" i="6" s="1"/>
  <c r="K5" i="6"/>
  <c r="J5" i="6"/>
  <c r="I5" i="6"/>
  <c r="H5" i="6"/>
  <c r="G5" i="6"/>
  <c r="J4" i="6"/>
  <c r="I4" i="6"/>
  <c r="H4" i="6"/>
  <c r="G4" i="6"/>
  <c r="K4" i="6" s="1"/>
  <c r="K11" i="6" l="1"/>
  <c r="D17" i="6" s="1"/>
  <c r="I11" i="6"/>
  <c r="D15" i="6" s="1"/>
  <c r="H8" i="6"/>
  <c r="H7" i="6"/>
  <c r="I8" i="6"/>
  <c r="J9" i="6"/>
  <c r="H6" i="6"/>
  <c r="H11" i="6" s="1"/>
  <c r="D14" i="6" s="1"/>
  <c r="I7" i="6"/>
  <c r="J8" i="6"/>
  <c r="I6" i="6"/>
  <c r="J7" i="6"/>
  <c r="J11" i="6" s="1"/>
  <c r="D16" i="6" s="1"/>
  <c r="D21" i="6" s="1"/>
  <c r="D20" i="6" l="1"/>
  <c r="D24" i="6" s="1"/>
  <c r="D22" i="6"/>
  <c r="D25" i="6" s="1"/>
  <c r="C21" i="5" l="1"/>
  <c r="C20" i="5"/>
  <c r="N11" i="5"/>
  <c r="N9" i="5"/>
  <c r="N8" i="5"/>
  <c r="N7" i="5"/>
  <c r="N6" i="5"/>
  <c r="N5" i="5"/>
  <c r="N4" i="5"/>
  <c r="M4" i="5"/>
  <c r="C29" i="5"/>
  <c r="C28" i="5"/>
  <c r="G22" i="3"/>
  <c r="G21" i="3"/>
  <c r="G16" i="3"/>
  <c r="G15" i="3"/>
  <c r="G19" i="3"/>
  <c r="G18" i="3"/>
  <c r="H9" i="5" l="1"/>
  <c r="H8" i="5"/>
  <c r="H7" i="5"/>
  <c r="H6" i="5"/>
  <c r="H5" i="5"/>
  <c r="H4" i="5"/>
  <c r="H11" i="5" s="1"/>
  <c r="L9" i="5"/>
  <c r="L8" i="5"/>
  <c r="L7" i="5"/>
  <c r="L6" i="5"/>
  <c r="L5" i="5"/>
  <c r="L4" i="5"/>
  <c r="L11" i="5" s="1"/>
  <c r="M9" i="5"/>
  <c r="M8" i="5"/>
  <c r="M7" i="5"/>
  <c r="M6" i="5"/>
  <c r="M5" i="5"/>
  <c r="C14" i="5" l="1"/>
  <c r="C15" i="5" s="1"/>
  <c r="M11" i="5"/>
  <c r="E11" i="5"/>
  <c r="I9" i="5"/>
  <c r="G9" i="5"/>
  <c r="I8" i="5"/>
  <c r="G8" i="5"/>
  <c r="I7" i="5"/>
  <c r="G7" i="5"/>
  <c r="I6" i="5"/>
  <c r="G6" i="5"/>
  <c r="I5" i="5"/>
  <c r="G5" i="5"/>
  <c r="I4" i="5"/>
  <c r="G4" i="5"/>
  <c r="G11" i="5" l="1"/>
  <c r="C24" i="5" s="1"/>
  <c r="C26" i="5" s="1"/>
  <c r="J5" i="5"/>
  <c r="K5" i="5"/>
  <c r="J8" i="5"/>
  <c r="K8" i="5"/>
  <c r="J6" i="5"/>
  <c r="K6" i="5"/>
  <c r="J9" i="5"/>
  <c r="K9" i="5"/>
  <c r="J4" i="5"/>
  <c r="J11" i="5" s="1"/>
  <c r="K4" i="5"/>
  <c r="J7" i="5"/>
  <c r="K7" i="5"/>
  <c r="C17" i="5"/>
  <c r="C18" i="5" s="1"/>
  <c r="C22" i="3"/>
  <c r="C21" i="3"/>
  <c r="K11" i="5" l="1"/>
  <c r="C25" i="5" s="1"/>
  <c r="L9" i="3"/>
  <c r="L8" i="3"/>
  <c r="L7" i="3"/>
  <c r="L6" i="3"/>
  <c r="L5" i="3"/>
  <c r="L4" i="3"/>
  <c r="L11" i="3" s="1"/>
  <c r="J9" i="3"/>
  <c r="K9" i="3" s="1"/>
  <c r="J8" i="3"/>
  <c r="K8" i="3" s="1"/>
  <c r="J7" i="3"/>
  <c r="K7" i="3" s="1"/>
  <c r="J6" i="3"/>
  <c r="K6" i="3" s="1"/>
  <c r="J5" i="3"/>
  <c r="K5" i="3" s="1"/>
  <c r="J4" i="3"/>
  <c r="K4" i="3" s="1"/>
  <c r="H9" i="3"/>
  <c r="I9" i="3" s="1"/>
  <c r="H8" i="3"/>
  <c r="I8" i="3" s="1"/>
  <c r="H7" i="3"/>
  <c r="I7" i="3" s="1"/>
  <c r="H6" i="3"/>
  <c r="I6" i="3" s="1"/>
  <c r="H5" i="3"/>
  <c r="I5" i="3" s="1"/>
  <c r="H4" i="3"/>
  <c r="I4" i="3" s="1"/>
  <c r="G9" i="3"/>
  <c r="G8" i="3"/>
  <c r="G7" i="3"/>
  <c r="G6" i="3"/>
  <c r="G5" i="3"/>
  <c r="G4" i="3"/>
  <c r="G11" i="3" s="1"/>
  <c r="I11" i="3" l="1"/>
  <c r="K11" i="3"/>
  <c r="E11" i="3"/>
  <c r="C19" i="3" s="1"/>
  <c r="C18" i="3" l="1"/>
  <c r="C16" i="3"/>
  <c r="C15" i="3"/>
</calcChain>
</file>

<file path=xl/sharedStrings.xml><?xml version="1.0" encoding="utf-8"?>
<sst xmlns="http://schemas.openxmlformats.org/spreadsheetml/2006/main" count="163" uniqueCount="105">
  <si>
    <t>Raw</t>
  </si>
  <si>
    <t>Ordered</t>
  </si>
  <si>
    <t>Class</t>
  </si>
  <si>
    <t>Original Class</t>
  </si>
  <si>
    <t>20-35</t>
  </si>
  <si>
    <t>36-51</t>
  </si>
  <si>
    <t>52-67</t>
  </si>
  <si>
    <t>68-83</t>
  </si>
  <si>
    <t>84-99</t>
  </si>
  <si>
    <t>100-115</t>
  </si>
  <si>
    <t>19.5-35.5</t>
  </si>
  <si>
    <t>51.5-67.5</t>
  </si>
  <si>
    <t>67.5-83.5</t>
  </si>
  <si>
    <t>83.5-99.5</t>
  </si>
  <si>
    <t>99.5-115.5</t>
  </si>
  <si>
    <t>Mid Value (x)</t>
  </si>
  <si>
    <t>Frequency (f)</t>
  </si>
  <si>
    <t>Cummulative Frequency (F)</t>
  </si>
  <si>
    <t>35.5-51.5</t>
  </si>
  <si>
    <t>x</t>
  </si>
  <si>
    <t>f</t>
  </si>
  <si>
    <t>log(x)</t>
  </si>
  <si>
    <t>f*log(x)</t>
  </si>
  <si>
    <t>f*x</t>
  </si>
  <si>
    <t>f*u</t>
  </si>
  <si>
    <t>f/x</t>
  </si>
  <si>
    <t>Sum</t>
  </si>
  <si>
    <t>u=(x-75.5)/16</t>
  </si>
  <si>
    <t>AM (code)</t>
  </si>
  <si>
    <t>GM</t>
  </si>
  <si>
    <t>HM</t>
  </si>
  <si>
    <t>Mo</t>
  </si>
  <si>
    <t>F</t>
  </si>
  <si>
    <t>Me</t>
  </si>
  <si>
    <t>CUL</t>
  </si>
  <si>
    <t>Angle</t>
  </si>
  <si>
    <t>f*|x-AM|</t>
  </si>
  <si>
    <t>f*|x-Me|</t>
  </si>
  <si>
    <t>MD (AM)</t>
  </si>
  <si>
    <t>%</t>
  </si>
  <si>
    <t>MD (Me)</t>
  </si>
  <si>
    <t>CMD (AM)</t>
  </si>
  <si>
    <t>CMD (Me)</t>
  </si>
  <si>
    <t>f*x^2</t>
  </si>
  <si>
    <t>f*u^2</t>
  </si>
  <si>
    <t>CV</t>
  </si>
  <si>
    <t>AM (direct)</t>
  </si>
  <si>
    <t>SD (direct)</t>
  </si>
  <si>
    <t>SD (code)</t>
  </si>
  <si>
    <t>Q1</t>
  </si>
  <si>
    <t>Q3</t>
  </si>
  <si>
    <t>D4</t>
  </si>
  <si>
    <t>D6</t>
  </si>
  <si>
    <t>P15</t>
  </si>
  <si>
    <t>P65</t>
  </si>
  <si>
    <t>IQR</t>
  </si>
  <si>
    <t>CIQR</t>
  </si>
  <si>
    <t>f*|x-Mo|</t>
  </si>
  <si>
    <t>MD (Mo)</t>
  </si>
  <si>
    <t>CMD (Mo)</t>
  </si>
  <si>
    <t>u=(x-80)/16</t>
  </si>
  <si>
    <t>f*u^3</t>
  </si>
  <si>
    <t>f*u^4</t>
  </si>
  <si>
    <t>SUM</t>
  </si>
  <si>
    <t>m1</t>
  </si>
  <si>
    <t>m2</t>
  </si>
  <si>
    <t>m3</t>
  </si>
  <si>
    <t>m4</t>
  </si>
  <si>
    <t>M1</t>
  </si>
  <si>
    <t>M2</t>
  </si>
  <si>
    <t>M3</t>
  </si>
  <si>
    <t>M4</t>
  </si>
  <si>
    <t>gamma_3</t>
  </si>
  <si>
    <t>&lt;0</t>
  </si>
  <si>
    <t>Left-skewed</t>
  </si>
  <si>
    <t>AM&lt;Me&lt;Mo</t>
  </si>
  <si>
    <t>gamma_4</t>
  </si>
  <si>
    <t>&lt;3</t>
  </si>
  <si>
    <t>Platykurtic</t>
  </si>
  <si>
    <t>Flatter</t>
  </si>
  <si>
    <t>y</t>
  </si>
  <si>
    <t>N=8</t>
  </si>
  <si>
    <t>x^2</t>
  </si>
  <si>
    <t>y^2</t>
  </si>
  <si>
    <t>x*y</t>
  </si>
  <si>
    <t>r</t>
  </si>
  <si>
    <t>b_y/x</t>
  </si>
  <si>
    <t>b_x/y</t>
  </si>
  <si>
    <t>R1</t>
  </si>
  <si>
    <t xml:space="preserve">R2 </t>
  </si>
  <si>
    <t>d</t>
  </si>
  <si>
    <t>d^2</t>
  </si>
  <si>
    <t>r_rank</t>
  </si>
  <si>
    <t>x has domianace over y</t>
  </si>
  <si>
    <t>Regression line of y on x</t>
  </si>
  <si>
    <t>AM(y)</t>
  </si>
  <si>
    <t>AM(x)</t>
  </si>
  <si>
    <t>y - 75.875 = - 0.2766(x- 84.25)</t>
  </si>
  <si>
    <t>Strong (high-degree) positive correlation</t>
  </si>
  <si>
    <t>Weak (low-degree) negative correlation</t>
  </si>
  <si>
    <t>x - 84.25 = - 0.2333(y - 75.875)</t>
  </si>
  <si>
    <t>Or, x = - 0.2333y + 101.95</t>
  </si>
  <si>
    <t>Or, y = - 0.2766x + 99.19</t>
  </si>
  <si>
    <t>x(80) = 83 (approx)</t>
  </si>
  <si>
    <t>y(55) = 84 (approx)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</si>
</sst>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B0F0"/>
      <name val="Arial"/>
      <family val="2"/>
    </font>
    <font>
      <sz val="10"/>
      <color rgb="FF0070C0"/>
      <name val="Arial"/>
      <family val="2"/>
    </font>
    <font>
      <sz val="10"/>
      <color rgb="FF002060"/>
      <name val="Arial"/>
      <family val="2"/>
    </font>
    <font>
      <sz val="10"/>
      <color rgb="FF7030A0"/>
      <name val="Arial"/>
      <family val="2"/>
    </font>
    <font>
      <sz val="10"/>
      <color rgb="FFC00000"/>
      <name val="Arial"/>
      <family val="2"/>
    </font>
    <font>
      <sz val="10"/>
      <color rgb="FF00B050"/>
      <name val="Arial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Visualizations!$D$3</c:f>
              <c:strCache>
                <c:ptCount val="1"/>
                <c:pt idx="0">
                  <c:v>f</c:v>
                </c:pt>
              </c:strCache>
            </c:strRef>
          </c:tx>
          <c:xVal>
            <c:numRef>
              <c:f>Visualizations!$C$4:$C$9</c:f>
              <c:numCache>
                <c:formatCode>General</c:formatCode>
                <c:ptCount val="6"/>
                <c:pt idx="0">
                  <c:v>27.5</c:v>
                </c:pt>
                <c:pt idx="1">
                  <c:v>43.5</c:v>
                </c:pt>
                <c:pt idx="2">
                  <c:v>59.5</c:v>
                </c:pt>
                <c:pt idx="3">
                  <c:v>75.5</c:v>
                </c:pt>
                <c:pt idx="4">
                  <c:v>91.5</c:v>
                </c:pt>
                <c:pt idx="5">
                  <c:v>107.5</c:v>
                </c:pt>
              </c:numCache>
            </c:numRef>
          </c:xVal>
          <c:yVal>
            <c:numRef>
              <c:f>Visualizations!$D$4:$D$9</c:f>
              <c:numCache>
                <c:formatCode>General</c:formatCode>
                <c:ptCount val="6"/>
                <c:pt idx="0">
                  <c:v>10</c:v>
                </c:pt>
                <c:pt idx="1">
                  <c:v>4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B03-4B25-A615-955CE40D4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00096"/>
        <c:axId val="170501632"/>
      </c:scatterChart>
      <c:valAx>
        <c:axId val="170500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0501632"/>
        <c:crosses val="autoZero"/>
        <c:crossBetween val="midCat"/>
      </c:valAx>
      <c:valAx>
        <c:axId val="170501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500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Visualizations!$C$21:$C$26</c:f>
              <c:numCache>
                <c:formatCode>General</c:formatCode>
                <c:ptCount val="6"/>
                <c:pt idx="0">
                  <c:v>35.5</c:v>
                </c:pt>
                <c:pt idx="1">
                  <c:v>51.5</c:v>
                </c:pt>
                <c:pt idx="2">
                  <c:v>67.5</c:v>
                </c:pt>
                <c:pt idx="3">
                  <c:v>83.5</c:v>
                </c:pt>
                <c:pt idx="4">
                  <c:v>99.5</c:v>
                </c:pt>
                <c:pt idx="5">
                  <c:v>115.5</c:v>
                </c:pt>
              </c:numCache>
            </c:numRef>
          </c:xVal>
          <c:yVal>
            <c:numRef>
              <c:f>Visualizations!$D$21:$D$26</c:f>
              <c:numCache>
                <c:formatCode>General</c:formatCode>
                <c:ptCount val="6"/>
                <c:pt idx="0">
                  <c:v>10</c:v>
                </c:pt>
                <c:pt idx="1">
                  <c:v>14</c:v>
                </c:pt>
                <c:pt idx="2">
                  <c:v>25</c:v>
                </c:pt>
                <c:pt idx="3">
                  <c:v>35</c:v>
                </c:pt>
                <c:pt idx="4">
                  <c:v>44</c:v>
                </c:pt>
                <c:pt idx="5">
                  <c:v>60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2D0-4DB9-A7E1-39AE02D97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76736"/>
        <c:axId val="190278272"/>
      </c:scatterChart>
      <c:valAx>
        <c:axId val="190276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0278272"/>
        <c:crosses val="autoZero"/>
        <c:crossBetween val="midCat"/>
      </c:valAx>
      <c:valAx>
        <c:axId val="190278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0276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44A-4960-B120-4860C1F93964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44A-4960-B120-4860C1F93964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44A-4960-B120-4860C1F93964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44A-4960-B120-4860C1F93964}"/>
              </c:ext>
            </c:extLst>
          </c:dPt>
          <c:dPt>
            <c:idx val="4"/>
            <c:invertIfNegative val="0"/>
            <c:bubble3D val="0"/>
            <c:spPr>
              <a:solidFill>
                <a:srgbClr val="00206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044A-4960-B120-4860C1F93964}"/>
              </c:ext>
            </c:extLst>
          </c:dPt>
          <c:dPt>
            <c:idx val="5"/>
            <c:invertIfNegative val="0"/>
            <c:bubble3D val="0"/>
            <c:spPr>
              <a:solidFill>
                <a:srgbClr val="0070C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044A-4960-B120-4860C1F9396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Visualizations!$C$38:$C$43</c:f>
              <c:strCache>
                <c:ptCount val="6"/>
                <c:pt idx="0">
                  <c:v>20-35</c:v>
                </c:pt>
                <c:pt idx="1">
                  <c:v>36-51</c:v>
                </c:pt>
                <c:pt idx="2">
                  <c:v>52-67</c:v>
                </c:pt>
                <c:pt idx="3">
                  <c:v>68-83</c:v>
                </c:pt>
                <c:pt idx="4">
                  <c:v>84-99</c:v>
                </c:pt>
                <c:pt idx="5">
                  <c:v>100-115</c:v>
                </c:pt>
              </c:strCache>
            </c:strRef>
          </c:cat>
          <c:val>
            <c:numRef>
              <c:f>Visualizations!$D$38:$D$43</c:f>
              <c:numCache>
                <c:formatCode>General</c:formatCode>
                <c:ptCount val="6"/>
                <c:pt idx="0">
                  <c:v>10</c:v>
                </c:pt>
                <c:pt idx="1">
                  <c:v>4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044A-4960-B120-4860C1F939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00"/>
        <c:axId val="190304256"/>
        <c:axId val="190309504"/>
      </c:barChart>
      <c:catAx>
        <c:axId val="190304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90309504"/>
        <c:crosses val="autoZero"/>
        <c:auto val="1"/>
        <c:lblAlgn val="ctr"/>
        <c:lblOffset val="100"/>
        <c:noMultiLvlLbl val="0"/>
      </c:catAx>
      <c:valAx>
        <c:axId val="19030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903042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Visualizations!$C$55:$C$60</c:f>
              <c:strCache>
                <c:ptCount val="6"/>
                <c:pt idx="0">
                  <c:v>20-35</c:v>
                </c:pt>
                <c:pt idx="1">
                  <c:v>36-51</c:v>
                </c:pt>
                <c:pt idx="2">
                  <c:v>52-67</c:v>
                </c:pt>
                <c:pt idx="3">
                  <c:v>68-83</c:v>
                </c:pt>
                <c:pt idx="4">
                  <c:v>84-99</c:v>
                </c:pt>
                <c:pt idx="5">
                  <c:v>100-115</c:v>
                </c:pt>
              </c:strCache>
            </c:strRef>
          </c:cat>
          <c:val>
            <c:numRef>
              <c:f>Visualizations!$D$55:$D$60</c:f>
              <c:numCache>
                <c:formatCode>General</c:formatCode>
                <c:ptCount val="6"/>
                <c:pt idx="0">
                  <c:v>60</c:v>
                </c:pt>
                <c:pt idx="1">
                  <c:v>24</c:v>
                </c:pt>
                <c:pt idx="2">
                  <c:v>66</c:v>
                </c:pt>
                <c:pt idx="3">
                  <c:v>60</c:v>
                </c:pt>
                <c:pt idx="4">
                  <c:v>54</c:v>
                </c:pt>
                <c:pt idx="5">
                  <c:v>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28-493C-8563-662C70851E29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2</xdr:row>
      <xdr:rowOff>0</xdr:rowOff>
    </xdr:from>
    <xdr:to>
      <xdr:col>12</xdr:col>
      <xdr:colOff>295275</xdr:colOff>
      <xdr:row>16</xdr:row>
      <xdr:rowOff>76200</xdr:rowOff>
    </xdr:to>
    <xdr:graphicFrame macro="">
      <xdr:nvGraphicFramePr>
        <xdr:cNvPr id="2" name="Chart 1" title="Frequency Polygon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600075</xdr:colOff>
      <xdr:row>18</xdr:row>
      <xdr:rowOff>180975</xdr:rowOff>
    </xdr:from>
    <xdr:to>
      <xdr:col>12</xdr:col>
      <xdr:colOff>295275</xdr:colOff>
      <xdr:row>33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36</xdr:row>
      <xdr:rowOff>9525</xdr:rowOff>
    </xdr:from>
    <xdr:to>
      <xdr:col>12</xdr:col>
      <xdr:colOff>304800</xdr:colOff>
      <xdr:row>50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9525</xdr:colOff>
      <xdr:row>53</xdr:row>
      <xdr:rowOff>180975</xdr:rowOff>
    </xdr:from>
    <xdr:to>
      <xdr:col>12</xdr:col>
      <xdr:colOff>314325</xdr:colOff>
      <xdr:row>68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16</xdr:row>
      <xdr:rowOff>0</xdr:rowOff>
    </xdr:from>
    <xdr:to>
      <xdr:col>14</xdr:col>
      <xdr:colOff>260136</xdr:colOff>
      <xdr:row>27</xdr:row>
      <xdr:rowOff>64500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3575" y="3048000"/>
          <a:ext cx="2698536" cy="216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180974</xdr:rowOff>
    </xdr:from>
    <xdr:to>
      <xdr:col>14</xdr:col>
      <xdr:colOff>261600</xdr:colOff>
      <xdr:row>39</xdr:row>
      <xdr:rowOff>54974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43575" y="5324474"/>
          <a:ext cx="2700000" cy="21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D63"/>
  <sheetViews>
    <sheetView topLeftCell="A52" workbookViewId="0">
      <selection activeCell="F40" sqref="F40"/>
    </sheetView>
  </sheetViews>
  <sheetFormatPr defaultRowHeight="15" x14ac:dyDescent="0.25"/>
  <cols>
    <col min="1" max="1" width="9.140625" style="5"/>
    <col min="2" max="2" width="4.28515625" style="5" bestFit="1" customWidth="1"/>
    <col min="3" max="3" width="9.140625" style="5"/>
    <col min="4" max="4" width="7.42578125" style="5" bestFit="1" customWidth="1"/>
    <col min="5" max="16384" width="9.140625" style="5"/>
  </cols>
  <sheetData>
    <row r="2" spans="2:4" x14ac:dyDescent="0.25">
      <c r="B2" s="3" t="s">
        <v>0</v>
      </c>
      <c r="C2" s="4"/>
      <c r="D2" s="3" t="s">
        <v>1</v>
      </c>
    </row>
    <row r="3" spans="2:4" x14ac:dyDescent="0.25">
      <c r="B3" s="6">
        <v>109</v>
      </c>
      <c r="C3" s="4"/>
      <c r="D3" s="7">
        <v>20</v>
      </c>
    </row>
    <row r="4" spans="2:4" x14ac:dyDescent="0.25">
      <c r="B4" s="6">
        <v>33</v>
      </c>
      <c r="C4" s="4"/>
      <c r="D4" s="7">
        <v>23</v>
      </c>
    </row>
    <row r="5" spans="2:4" x14ac:dyDescent="0.25">
      <c r="B5" s="6">
        <v>77</v>
      </c>
      <c r="C5" s="4"/>
      <c r="D5" s="7">
        <v>24</v>
      </c>
    </row>
    <row r="6" spans="2:4" x14ac:dyDescent="0.25">
      <c r="B6" s="6">
        <v>87</v>
      </c>
      <c r="C6" s="4"/>
      <c r="D6" s="7">
        <v>26</v>
      </c>
    </row>
    <row r="7" spans="2:4" x14ac:dyDescent="0.25">
      <c r="B7" s="6">
        <v>82</v>
      </c>
      <c r="C7" s="4"/>
      <c r="D7" s="7">
        <v>28</v>
      </c>
    </row>
    <row r="8" spans="2:4" x14ac:dyDescent="0.25">
      <c r="B8" s="6">
        <v>69</v>
      </c>
      <c r="C8" s="4"/>
      <c r="D8" s="7">
        <v>30</v>
      </c>
    </row>
    <row r="9" spans="2:4" x14ac:dyDescent="0.25">
      <c r="B9" s="6">
        <v>93</v>
      </c>
      <c r="C9" s="4"/>
      <c r="D9" s="7">
        <v>31</v>
      </c>
    </row>
    <row r="10" spans="2:4" x14ac:dyDescent="0.25">
      <c r="B10" s="6">
        <v>57</v>
      </c>
      <c r="C10" s="4"/>
      <c r="D10" s="7">
        <v>32</v>
      </c>
    </row>
    <row r="11" spans="2:4" x14ac:dyDescent="0.25">
      <c r="B11" s="6">
        <v>62</v>
      </c>
      <c r="C11" s="4"/>
      <c r="D11" s="7">
        <v>33</v>
      </c>
    </row>
    <row r="12" spans="2:4" x14ac:dyDescent="0.25">
      <c r="B12" s="6">
        <v>65</v>
      </c>
      <c r="C12" s="4"/>
      <c r="D12" s="7">
        <v>35</v>
      </c>
    </row>
    <row r="13" spans="2:4" x14ac:dyDescent="0.25">
      <c r="B13" s="6">
        <v>66</v>
      </c>
      <c r="C13" s="4"/>
      <c r="D13" s="8">
        <v>39</v>
      </c>
    </row>
    <row r="14" spans="2:4" x14ac:dyDescent="0.25">
      <c r="B14" s="6">
        <v>26</v>
      </c>
      <c r="C14" s="4"/>
      <c r="D14" s="8">
        <v>43</v>
      </c>
    </row>
    <row r="15" spans="2:4" x14ac:dyDescent="0.25">
      <c r="B15" s="6">
        <v>75</v>
      </c>
      <c r="C15" s="4"/>
      <c r="D15" s="8">
        <v>43</v>
      </c>
    </row>
    <row r="16" spans="2:4" x14ac:dyDescent="0.25">
      <c r="B16" s="6">
        <v>93</v>
      </c>
      <c r="C16" s="4"/>
      <c r="D16" s="8">
        <v>47</v>
      </c>
    </row>
    <row r="17" spans="2:4" x14ac:dyDescent="0.25">
      <c r="B17" s="6">
        <v>39</v>
      </c>
      <c r="C17" s="4"/>
      <c r="D17" s="9">
        <v>52</v>
      </c>
    </row>
    <row r="18" spans="2:4" x14ac:dyDescent="0.25">
      <c r="B18" s="6">
        <v>106</v>
      </c>
      <c r="C18" s="4"/>
      <c r="D18" s="9">
        <v>53</v>
      </c>
    </row>
    <row r="19" spans="2:4" x14ac:dyDescent="0.25">
      <c r="B19" s="6">
        <v>110</v>
      </c>
      <c r="C19" s="4"/>
      <c r="D19" s="9">
        <v>57</v>
      </c>
    </row>
    <row r="20" spans="2:4" x14ac:dyDescent="0.25">
      <c r="B20" s="6">
        <v>105</v>
      </c>
      <c r="C20" s="4"/>
      <c r="D20" s="9">
        <v>59</v>
      </c>
    </row>
    <row r="21" spans="2:4" x14ac:dyDescent="0.25">
      <c r="B21" s="6">
        <v>53</v>
      </c>
      <c r="C21" s="4"/>
      <c r="D21" s="9">
        <v>59</v>
      </c>
    </row>
    <row r="22" spans="2:4" x14ac:dyDescent="0.25">
      <c r="B22" s="6">
        <v>31</v>
      </c>
      <c r="C22" s="4"/>
      <c r="D22" s="9">
        <v>59</v>
      </c>
    </row>
    <row r="23" spans="2:4" x14ac:dyDescent="0.25">
      <c r="B23" s="6">
        <v>59</v>
      </c>
      <c r="C23" s="4"/>
      <c r="D23" s="9">
        <v>60</v>
      </c>
    </row>
    <row r="24" spans="2:4" x14ac:dyDescent="0.25">
      <c r="B24" s="6">
        <v>63</v>
      </c>
      <c r="C24" s="4"/>
      <c r="D24" s="9">
        <v>62</v>
      </c>
    </row>
    <row r="25" spans="2:4" x14ac:dyDescent="0.25">
      <c r="B25" s="6">
        <v>94</v>
      </c>
      <c r="C25" s="4"/>
      <c r="D25" s="9">
        <v>63</v>
      </c>
    </row>
    <row r="26" spans="2:4" x14ac:dyDescent="0.25">
      <c r="B26" s="6">
        <v>108</v>
      </c>
      <c r="C26" s="4"/>
      <c r="D26" s="9">
        <v>65</v>
      </c>
    </row>
    <row r="27" spans="2:4" x14ac:dyDescent="0.25">
      <c r="B27" s="6">
        <v>109</v>
      </c>
      <c r="C27" s="4"/>
      <c r="D27" s="9">
        <v>66</v>
      </c>
    </row>
    <row r="28" spans="2:4" x14ac:dyDescent="0.25">
      <c r="B28" s="6">
        <v>32</v>
      </c>
      <c r="C28" s="4"/>
      <c r="D28" s="10">
        <v>69</v>
      </c>
    </row>
    <row r="29" spans="2:4" x14ac:dyDescent="0.25">
      <c r="B29" s="6">
        <v>96</v>
      </c>
      <c r="C29" s="4"/>
      <c r="D29" s="10">
        <v>69</v>
      </c>
    </row>
    <row r="30" spans="2:4" x14ac:dyDescent="0.25">
      <c r="B30" s="6">
        <v>43</v>
      </c>
      <c r="C30" s="4"/>
      <c r="D30" s="10">
        <v>71</v>
      </c>
    </row>
    <row r="31" spans="2:4" x14ac:dyDescent="0.25">
      <c r="B31" s="6">
        <v>90</v>
      </c>
      <c r="C31" s="4"/>
      <c r="D31" s="10">
        <v>73</v>
      </c>
    </row>
    <row r="32" spans="2:4" x14ac:dyDescent="0.25">
      <c r="B32" s="6">
        <v>100</v>
      </c>
      <c r="C32" s="4"/>
      <c r="D32" s="10">
        <v>74</v>
      </c>
    </row>
    <row r="33" spans="2:4" x14ac:dyDescent="0.25">
      <c r="B33" s="6">
        <v>47</v>
      </c>
      <c r="C33" s="4"/>
      <c r="D33" s="10">
        <v>75</v>
      </c>
    </row>
    <row r="34" spans="2:4" x14ac:dyDescent="0.25">
      <c r="B34" s="6">
        <v>69</v>
      </c>
      <c r="C34" s="4"/>
      <c r="D34" s="10">
        <v>77</v>
      </c>
    </row>
    <row r="35" spans="2:4" x14ac:dyDescent="0.25">
      <c r="B35" s="6">
        <v>20</v>
      </c>
      <c r="C35" s="4"/>
      <c r="D35" s="10">
        <v>77</v>
      </c>
    </row>
    <row r="36" spans="2:4" x14ac:dyDescent="0.25">
      <c r="B36" s="6">
        <v>90</v>
      </c>
      <c r="C36" s="4"/>
      <c r="D36" s="10">
        <v>82</v>
      </c>
    </row>
    <row r="37" spans="2:4" x14ac:dyDescent="0.25">
      <c r="B37" s="6">
        <v>103</v>
      </c>
      <c r="C37" s="4"/>
      <c r="D37" s="10">
        <v>82</v>
      </c>
    </row>
    <row r="38" spans="2:4" x14ac:dyDescent="0.25">
      <c r="B38" s="6">
        <v>104</v>
      </c>
      <c r="C38" s="4"/>
      <c r="D38" s="11">
        <v>87</v>
      </c>
    </row>
    <row r="39" spans="2:4" x14ac:dyDescent="0.25">
      <c r="B39" s="6">
        <v>108</v>
      </c>
      <c r="C39" s="4"/>
      <c r="D39" s="11">
        <v>89</v>
      </c>
    </row>
    <row r="40" spans="2:4" x14ac:dyDescent="0.25">
      <c r="B40" s="6">
        <v>23</v>
      </c>
      <c r="C40" s="4"/>
      <c r="D40" s="11">
        <v>90</v>
      </c>
    </row>
    <row r="41" spans="2:4" x14ac:dyDescent="0.25">
      <c r="B41" s="6">
        <v>43</v>
      </c>
      <c r="C41" s="4"/>
      <c r="D41" s="11">
        <v>90</v>
      </c>
    </row>
    <row r="42" spans="2:4" x14ac:dyDescent="0.25">
      <c r="B42" s="6">
        <v>82</v>
      </c>
      <c r="C42" s="4"/>
      <c r="D42" s="11">
        <v>91</v>
      </c>
    </row>
    <row r="43" spans="2:4" x14ac:dyDescent="0.25">
      <c r="B43" s="6">
        <v>108</v>
      </c>
      <c r="C43" s="4"/>
      <c r="D43" s="11">
        <v>93</v>
      </c>
    </row>
    <row r="44" spans="2:4" x14ac:dyDescent="0.25">
      <c r="B44" s="6">
        <v>59</v>
      </c>
      <c r="C44" s="4"/>
      <c r="D44" s="11">
        <v>93</v>
      </c>
    </row>
    <row r="45" spans="2:4" x14ac:dyDescent="0.25">
      <c r="B45" s="6">
        <v>35</v>
      </c>
      <c r="C45" s="4"/>
      <c r="D45" s="11">
        <v>94</v>
      </c>
    </row>
    <row r="46" spans="2:4" x14ac:dyDescent="0.25">
      <c r="B46" s="6">
        <v>28</v>
      </c>
      <c r="C46" s="4"/>
      <c r="D46" s="11">
        <v>96</v>
      </c>
    </row>
    <row r="47" spans="2:4" x14ac:dyDescent="0.25">
      <c r="B47" s="6">
        <v>109</v>
      </c>
      <c r="C47" s="4"/>
      <c r="D47" s="12">
        <v>100</v>
      </c>
    </row>
    <row r="48" spans="2:4" x14ac:dyDescent="0.25">
      <c r="B48" s="6">
        <v>52</v>
      </c>
      <c r="C48" s="4"/>
      <c r="D48" s="12">
        <v>102</v>
      </c>
    </row>
    <row r="49" spans="2:4" x14ac:dyDescent="0.25">
      <c r="B49" s="6">
        <v>60</v>
      </c>
      <c r="C49" s="4"/>
      <c r="D49" s="12">
        <v>103</v>
      </c>
    </row>
    <row r="50" spans="2:4" x14ac:dyDescent="0.25">
      <c r="B50" s="6">
        <v>102</v>
      </c>
      <c r="C50" s="4"/>
      <c r="D50" s="12">
        <v>104</v>
      </c>
    </row>
    <row r="51" spans="2:4" x14ac:dyDescent="0.25">
      <c r="B51" s="6">
        <v>74</v>
      </c>
      <c r="C51" s="4"/>
      <c r="D51" s="12">
        <v>105</v>
      </c>
    </row>
    <row r="52" spans="2:4" x14ac:dyDescent="0.25">
      <c r="B52" s="6">
        <v>91</v>
      </c>
      <c r="C52" s="4"/>
      <c r="D52" s="12">
        <v>105</v>
      </c>
    </row>
    <row r="53" spans="2:4" x14ac:dyDescent="0.25">
      <c r="B53" s="6">
        <v>30</v>
      </c>
      <c r="C53" s="4"/>
      <c r="D53" s="12">
        <v>106</v>
      </c>
    </row>
    <row r="54" spans="2:4" x14ac:dyDescent="0.25">
      <c r="B54" s="6">
        <v>77</v>
      </c>
      <c r="C54" s="4"/>
      <c r="D54" s="12">
        <v>106</v>
      </c>
    </row>
    <row r="55" spans="2:4" x14ac:dyDescent="0.25">
      <c r="B55" s="6">
        <v>106</v>
      </c>
      <c r="C55" s="4"/>
      <c r="D55" s="12">
        <v>108</v>
      </c>
    </row>
    <row r="56" spans="2:4" x14ac:dyDescent="0.25">
      <c r="B56" s="6">
        <v>24</v>
      </c>
      <c r="C56" s="4"/>
      <c r="D56" s="12">
        <v>108</v>
      </c>
    </row>
    <row r="57" spans="2:4" x14ac:dyDescent="0.25">
      <c r="B57" s="6">
        <v>59</v>
      </c>
      <c r="C57" s="4"/>
      <c r="D57" s="12">
        <v>108</v>
      </c>
    </row>
    <row r="58" spans="2:4" x14ac:dyDescent="0.25">
      <c r="B58" s="6">
        <v>73</v>
      </c>
      <c r="C58" s="4"/>
      <c r="D58" s="12">
        <v>109</v>
      </c>
    </row>
    <row r="59" spans="2:4" x14ac:dyDescent="0.25">
      <c r="B59" s="6">
        <v>71</v>
      </c>
      <c r="C59" s="4"/>
      <c r="D59" s="12">
        <v>109</v>
      </c>
    </row>
    <row r="60" spans="2:4" x14ac:dyDescent="0.25">
      <c r="B60" s="6">
        <v>105</v>
      </c>
      <c r="C60" s="4"/>
      <c r="D60" s="12">
        <v>109</v>
      </c>
    </row>
    <row r="61" spans="2:4" x14ac:dyDescent="0.25">
      <c r="B61" s="6">
        <v>109</v>
      </c>
      <c r="C61" s="4"/>
      <c r="D61" s="12">
        <v>109</v>
      </c>
    </row>
    <row r="62" spans="2:4" x14ac:dyDescent="0.25">
      <c r="B62" s="6">
        <v>89</v>
      </c>
      <c r="C62" s="4"/>
      <c r="D62" s="12">
        <v>110</v>
      </c>
    </row>
    <row r="63" spans="2:4" x14ac:dyDescent="0.25">
      <c r="B63" s="4"/>
      <c r="C63" s="4"/>
      <c r="D6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C2:G8"/>
  <sheetViews>
    <sheetView zoomScaleNormal="100" workbookViewId="0">
      <selection activeCell="C17" sqref="C17"/>
    </sheetView>
  </sheetViews>
  <sheetFormatPr defaultRowHeight="15" x14ac:dyDescent="0.25"/>
  <cols>
    <col min="1" max="2" width="9.140625" style="13"/>
    <col min="3" max="3" width="7.7109375" style="13" bestFit="1" customWidth="1"/>
    <col min="4" max="6" width="12.85546875" style="13" bestFit="1" customWidth="1"/>
    <col min="7" max="7" width="26" style="13" bestFit="1" customWidth="1"/>
    <col min="8" max="8" width="9.140625" style="13" customWidth="1"/>
    <col min="9" max="16384" width="9.140625" style="13"/>
  </cols>
  <sheetData>
    <row r="2" spans="3:7" x14ac:dyDescent="0.25">
      <c r="C2" s="13" t="s">
        <v>2</v>
      </c>
      <c r="D2" s="13" t="s">
        <v>3</v>
      </c>
      <c r="E2" s="13" t="s">
        <v>15</v>
      </c>
      <c r="F2" s="13" t="s">
        <v>16</v>
      </c>
      <c r="G2" s="13" t="s">
        <v>17</v>
      </c>
    </row>
    <row r="3" spans="3:7" x14ac:dyDescent="0.25">
      <c r="C3" s="13" t="s">
        <v>4</v>
      </c>
      <c r="D3" s="13" t="s">
        <v>10</v>
      </c>
      <c r="E3" s="13">
        <v>27.5</v>
      </c>
      <c r="F3" s="13">
        <v>10</v>
      </c>
      <c r="G3" s="13">
        <v>10</v>
      </c>
    </row>
    <row r="4" spans="3:7" x14ac:dyDescent="0.25">
      <c r="C4" s="13" t="s">
        <v>5</v>
      </c>
      <c r="D4" s="13" t="s">
        <v>18</v>
      </c>
      <c r="E4" s="13">
        <v>43.5</v>
      </c>
      <c r="F4" s="13">
        <v>4</v>
      </c>
      <c r="G4" s="13">
        <v>14</v>
      </c>
    </row>
    <row r="5" spans="3:7" x14ac:dyDescent="0.25">
      <c r="C5" s="13" t="s">
        <v>6</v>
      </c>
      <c r="D5" s="13" t="s">
        <v>11</v>
      </c>
      <c r="E5" s="13">
        <v>59.5</v>
      </c>
      <c r="F5" s="13">
        <v>11</v>
      </c>
      <c r="G5" s="13">
        <v>25</v>
      </c>
    </row>
    <row r="6" spans="3:7" x14ac:dyDescent="0.25">
      <c r="C6" s="13" t="s">
        <v>7</v>
      </c>
      <c r="D6" s="13" t="s">
        <v>12</v>
      </c>
      <c r="E6" s="13">
        <v>75.5</v>
      </c>
      <c r="F6" s="13">
        <v>10</v>
      </c>
      <c r="G6" s="13">
        <v>35</v>
      </c>
    </row>
    <row r="7" spans="3:7" x14ac:dyDescent="0.25">
      <c r="C7" s="13" t="s">
        <v>8</v>
      </c>
      <c r="D7" s="13" t="s">
        <v>13</v>
      </c>
      <c r="E7" s="13">
        <v>91.5</v>
      </c>
      <c r="F7" s="13">
        <v>9</v>
      </c>
      <c r="G7" s="13">
        <v>44</v>
      </c>
    </row>
    <row r="8" spans="3:7" x14ac:dyDescent="0.25">
      <c r="C8" s="13" t="s">
        <v>9</v>
      </c>
      <c r="D8" s="13" t="s">
        <v>14</v>
      </c>
      <c r="E8" s="13">
        <v>107.5</v>
      </c>
      <c r="F8" s="13">
        <v>16</v>
      </c>
      <c r="G8" s="13">
        <v>60</v>
      </c>
    </row>
  </sheetData>
  <sortState ref="B2:B61">
    <sortCondition ref="B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C3:D60"/>
  <sheetViews>
    <sheetView topLeftCell="A47" workbookViewId="0">
      <selection activeCell="D63" sqref="D63"/>
    </sheetView>
  </sheetViews>
  <sheetFormatPr defaultRowHeight="15" x14ac:dyDescent="0.25"/>
  <cols>
    <col min="1" max="2" width="9.140625" style="5"/>
    <col min="3" max="3" width="7.7109375" style="5" bestFit="1" customWidth="1"/>
    <col min="4" max="4" width="6.140625" style="5" bestFit="1" customWidth="1"/>
    <col min="5" max="16384" width="9.140625" style="5"/>
  </cols>
  <sheetData>
    <row r="3" spans="3:4" x14ac:dyDescent="0.25">
      <c r="C3" s="13" t="s">
        <v>19</v>
      </c>
      <c r="D3" s="13" t="s">
        <v>20</v>
      </c>
    </row>
    <row r="4" spans="3:4" x14ac:dyDescent="0.25">
      <c r="C4" s="13">
        <v>27.5</v>
      </c>
      <c r="D4" s="13">
        <v>10</v>
      </c>
    </row>
    <row r="5" spans="3:4" x14ac:dyDescent="0.25">
      <c r="C5" s="13">
        <v>43.5</v>
      </c>
      <c r="D5" s="13">
        <v>4</v>
      </c>
    </row>
    <row r="6" spans="3:4" x14ac:dyDescent="0.25">
      <c r="C6" s="13">
        <v>59.5</v>
      </c>
      <c r="D6" s="13">
        <v>11</v>
      </c>
    </row>
    <row r="7" spans="3:4" x14ac:dyDescent="0.25">
      <c r="C7" s="13">
        <v>75.5</v>
      </c>
      <c r="D7" s="13">
        <v>10</v>
      </c>
    </row>
    <row r="8" spans="3:4" x14ac:dyDescent="0.25">
      <c r="C8" s="13">
        <v>91.5</v>
      </c>
      <c r="D8" s="13">
        <v>9</v>
      </c>
    </row>
    <row r="9" spans="3:4" x14ac:dyDescent="0.25">
      <c r="C9" s="13">
        <v>107.5</v>
      </c>
      <c r="D9" s="13">
        <v>16</v>
      </c>
    </row>
    <row r="20" spans="3:4" x14ac:dyDescent="0.25">
      <c r="C20" s="13" t="s">
        <v>34</v>
      </c>
      <c r="D20" s="13" t="s">
        <v>32</v>
      </c>
    </row>
    <row r="21" spans="3:4" x14ac:dyDescent="0.25">
      <c r="C21" s="13">
        <v>35.5</v>
      </c>
      <c r="D21" s="13">
        <v>10</v>
      </c>
    </row>
    <row r="22" spans="3:4" x14ac:dyDescent="0.25">
      <c r="C22" s="13">
        <v>51.5</v>
      </c>
      <c r="D22" s="13">
        <v>14</v>
      </c>
    </row>
    <row r="23" spans="3:4" x14ac:dyDescent="0.25">
      <c r="C23" s="13">
        <v>67.5</v>
      </c>
      <c r="D23" s="13">
        <v>25</v>
      </c>
    </row>
    <row r="24" spans="3:4" x14ac:dyDescent="0.25">
      <c r="C24" s="13">
        <v>83.5</v>
      </c>
      <c r="D24" s="13">
        <v>35</v>
      </c>
    </row>
    <row r="25" spans="3:4" x14ac:dyDescent="0.25">
      <c r="C25" s="13">
        <v>99.5</v>
      </c>
      <c r="D25" s="13">
        <v>44</v>
      </c>
    </row>
    <row r="26" spans="3:4" x14ac:dyDescent="0.25">
      <c r="C26" s="13">
        <v>115.5</v>
      </c>
      <c r="D26" s="13">
        <v>60</v>
      </c>
    </row>
    <row r="37" spans="3:4" x14ac:dyDescent="0.25">
      <c r="C37" s="13" t="s">
        <v>2</v>
      </c>
      <c r="D37" s="13" t="s">
        <v>35</v>
      </c>
    </row>
    <row r="38" spans="3:4" x14ac:dyDescent="0.25">
      <c r="C38" s="13" t="s">
        <v>4</v>
      </c>
      <c r="D38" s="13">
        <v>10</v>
      </c>
    </row>
    <row r="39" spans="3:4" x14ac:dyDescent="0.25">
      <c r="C39" s="13" t="s">
        <v>5</v>
      </c>
      <c r="D39" s="13">
        <v>4</v>
      </c>
    </row>
    <row r="40" spans="3:4" x14ac:dyDescent="0.25">
      <c r="C40" s="13" t="s">
        <v>6</v>
      </c>
      <c r="D40" s="13">
        <v>11</v>
      </c>
    </row>
    <row r="41" spans="3:4" x14ac:dyDescent="0.25">
      <c r="C41" s="13" t="s">
        <v>7</v>
      </c>
      <c r="D41" s="13">
        <v>10</v>
      </c>
    </row>
    <row r="42" spans="3:4" x14ac:dyDescent="0.25">
      <c r="C42" s="13" t="s">
        <v>8</v>
      </c>
      <c r="D42" s="13">
        <v>9</v>
      </c>
    </row>
    <row r="43" spans="3:4" x14ac:dyDescent="0.25">
      <c r="C43" s="13" t="s">
        <v>9</v>
      </c>
      <c r="D43" s="13">
        <v>16</v>
      </c>
    </row>
    <row r="54" spans="3:4" x14ac:dyDescent="0.25">
      <c r="C54" s="13" t="s">
        <v>2</v>
      </c>
      <c r="D54" s="13" t="s">
        <v>20</v>
      </c>
    </row>
    <row r="55" spans="3:4" x14ac:dyDescent="0.25">
      <c r="C55" s="13" t="s">
        <v>4</v>
      </c>
      <c r="D55" s="13">
        <v>60</v>
      </c>
    </row>
    <row r="56" spans="3:4" x14ac:dyDescent="0.25">
      <c r="C56" s="13" t="s">
        <v>5</v>
      </c>
      <c r="D56" s="13">
        <v>24</v>
      </c>
    </row>
    <row r="57" spans="3:4" x14ac:dyDescent="0.25">
      <c r="C57" s="13" t="s">
        <v>6</v>
      </c>
      <c r="D57" s="13">
        <v>66</v>
      </c>
    </row>
    <row r="58" spans="3:4" x14ac:dyDescent="0.25">
      <c r="C58" s="13" t="s">
        <v>7</v>
      </c>
      <c r="D58" s="13">
        <v>60</v>
      </c>
    </row>
    <row r="59" spans="3:4" x14ac:dyDescent="0.25">
      <c r="C59" s="13" t="s">
        <v>8</v>
      </c>
      <c r="D59" s="13">
        <v>54</v>
      </c>
    </row>
    <row r="60" spans="3:4" x14ac:dyDescent="0.25">
      <c r="C60" s="13" t="s">
        <v>9</v>
      </c>
      <c r="D60" s="13">
        <v>96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3:L22"/>
  <sheetViews>
    <sheetView zoomScaleNormal="100" workbookViewId="0">
      <selection activeCell="J14" sqref="J14"/>
    </sheetView>
  </sheetViews>
  <sheetFormatPr defaultRowHeight="15" x14ac:dyDescent="0.25"/>
  <cols>
    <col min="1" max="1" width="9.140625" style="13"/>
    <col min="2" max="2" width="11" style="13" bestFit="1" customWidth="1"/>
    <col min="3" max="3" width="11.5703125" style="13" bestFit="1" customWidth="1"/>
    <col min="4" max="4" width="5.5703125" style="13" bestFit="1" customWidth="1"/>
    <col min="5" max="5" width="3" style="13" bestFit="1" customWidth="1"/>
    <col min="6" max="6" width="4.140625" style="13" bestFit="1" customWidth="1"/>
    <col min="7" max="7" width="11.5703125" style="13" bestFit="1" customWidth="1"/>
    <col min="8" max="8" width="12.7109375" style="13" bestFit="1" customWidth="1"/>
    <col min="9" max="9" width="3.85546875" style="13" bestFit="1" customWidth="1"/>
    <col min="10" max="12" width="11.5703125" style="13" bestFit="1" customWidth="1"/>
    <col min="13" max="16384" width="9.140625" style="13"/>
  </cols>
  <sheetData>
    <row r="3" spans="2:12" x14ac:dyDescent="0.25">
      <c r="C3" s="13" t="s">
        <v>2</v>
      </c>
      <c r="D3" s="13" t="s">
        <v>19</v>
      </c>
      <c r="E3" s="13" t="s">
        <v>20</v>
      </c>
      <c r="F3" s="13" t="s">
        <v>32</v>
      </c>
      <c r="G3" s="13" t="s">
        <v>23</v>
      </c>
      <c r="H3" s="13" t="s">
        <v>27</v>
      </c>
      <c r="I3" s="13" t="s">
        <v>24</v>
      </c>
      <c r="J3" s="13" t="s">
        <v>21</v>
      </c>
      <c r="K3" s="13" t="s">
        <v>22</v>
      </c>
      <c r="L3" s="13" t="s">
        <v>25</v>
      </c>
    </row>
    <row r="4" spans="2:12" x14ac:dyDescent="0.25">
      <c r="C4" s="14" t="s">
        <v>10</v>
      </c>
      <c r="D4" s="14">
        <v>27.5</v>
      </c>
      <c r="E4" s="14">
        <v>10</v>
      </c>
      <c r="F4" s="14">
        <v>10</v>
      </c>
      <c r="G4" s="13">
        <f>E4*D4</f>
        <v>275</v>
      </c>
      <c r="H4" s="13">
        <f>(D4-75.5)/16</f>
        <v>-3</v>
      </c>
      <c r="I4" s="13">
        <f>E4*H4</f>
        <v>-30</v>
      </c>
      <c r="J4" s="13">
        <f>LOG(D4)</f>
        <v>1.4393326938302626</v>
      </c>
      <c r="K4" s="13">
        <f>E4*J4</f>
        <v>14.393326938302627</v>
      </c>
      <c r="L4" s="13">
        <f>E4/D4</f>
        <v>0.36363636363636365</v>
      </c>
    </row>
    <row r="5" spans="2:12" x14ac:dyDescent="0.25">
      <c r="C5" s="13" t="s">
        <v>18</v>
      </c>
      <c r="D5" s="13">
        <v>43.5</v>
      </c>
      <c r="E5" s="13">
        <v>4</v>
      </c>
      <c r="F5" s="13">
        <v>14</v>
      </c>
      <c r="G5" s="13">
        <f t="shared" ref="G5:G9" si="0">E5*D5</f>
        <v>174</v>
      </c>
      <c r="H5" s="13">
        <f t="shared" ref="H5:H9" si="1">(D5-75.5)/16</f>
        <v>-2</v>
      </c>
      <c r="I5" s="13">
        <f t="shared" ref="I5:I9" si="2">E5*H5</f>
        <v>-8</v>
      </c>
      <c r="J5" s="13">
        <f>LOG(D5)</f>
        <v>1.6384892569546374</v>
      </c>
      <c r="K5" s="13">
        <f t="shared" ref="K5:K9" si="3">E5*J5</f>
        <v>6.5539570278185497</v>
      </c>
      <c r="L5" s="13">
        <f t="shared" ref="L5:L9" si="4">E5/D5</f>
        <v>9.1954022988505746E-2</v>
      </c>
    </row>
    <row r="6" spans="2:12" x14ac:dyDescent="0.25">
      <c r="C6" s="15" t="s">
        <v>11</v>
      </c>
      <c r="D6" s="15">
        <v>59.5</v>
      </c>
      <c r="E6" s="15">
        <v>11</v>
      </c>
      <c r="F6" s="15">
        <v>25</v>
      </c>
      <c r="G6" s="13">
        <f t="shared" si="0"/>
        <v>654.5</v>
      </c>
      <c r="H6" s="13">
        <f t="shared" si="1"/>
        <v>-1</v>
      </c>
      <c r="I6" s="13">
        <f t="shared" si="2"/>
        <v>-11</v>
      </c>
      <c r="J6" s="13">
        <f t="shared" ref="J6:J9" si="5">LOG(D6)</f>
        <v>1.7745169657285496</v>
      </c>
      <c r="K6" s="13">
        <f t="shared" si="3"/>
        <v>19.519686623014046</v>
      </c>
      <c r="L6" s="13">
        <f t="shared" si="4"/>
        <v>0.18487394957983194</v>
      </c>
    </row>
    <row r="7" spans="2:12" x14ac:dyDescent="0.25">
      <c r="C7" s="16" t="s">
        <v>12</v>
      </c>
      <c r="D7" s="16">
        <v>75.5</v>
      </c>
      <c r="E7" s="16">
        <v>10</v>
      </c>
      <c r="F7" s="16">
        <v>35</v>
      </c>
      <c r="G7" s="13">
        <f t="shared" si="0"/>
        <v>755</v>
      </c>
      <c r="H7" s="13">
        <f t="shared" si="1"/>
        <v>0</v>
      </c>
      <c r="I7" s="13">
        <f t="shared" si="2"/>
        <v>0</v>
      </c>
      <c r="J7" s="13">
        <f t="shared" si="5"/>
        <v>1.8779469516291882</v>
      </c>
      <c r="K7" s="13">
        <f t="shared" si="3"/>
        <v>18.779469516291883</v>
      </c>
      <c r="L7" s="13">
        <f t="shared" si="4"/>
        <v>0.13245033112582782</v>
      </c>
    </row>
    <row r="8" spans="2:12" x14ac:dyDescent="0.25">
      <c r="C8" s="17" t="s">
        <v>13</v>
      </c>
      <c r="D8" s="17">
        <v>91.5</v>
      </c>
      <c r="E8" s="17">
        <v>9</v>
      </c>
      <c r="F8" s="17">
        <v>44</v>
      </c>
      <c r="G8" s="13">
        <f t="shared" si="0"/>
        <v>823.5</v>
      </c>
      <c r="H8" s="13">
        <f t="shared" si="1"/>
        <v>1</v>
      </c>
      <c r="I8" s="13">
        <f t="shared" si="2"/>
        <v>9</v>
      </c>
      <c r="J8" s="13">
        <f t="shared" si="5"/>
        <v>1.9614210940664483</v>
      </c>
      <c r="K8" s="13">
        <f t="shared" si="3"/>
        <v>17.652789846598033</v>
      </c>
      <c r="L8" s="13">
        <f t="shared" si="4"/>
        <v>9.8360655737704916E-2</v>
      </c>
    </row>
    <row r="9" spans="2:12" x14ac:dyDescent="0.25">
      <c r="C9" s="18" t="s">
        <v>14</v>
      </c>
      <c r="D9" s="18">
        <v>107.5</v>
      </c>
      <c r="E9" s="18">
        <v>16</v>
      </c>
      <c r="F9" s="18">
        <v>60</v>
      </c>
      <c r="G9" s="13">
        <f t="shared" si="0"/>
        <v>1720</v>
      </c>
      <c r="H9" s="13">
        <f t="shared" si="1"/>
        <v>2</v>
      </c>
      <c r="I9" s="13">
        <f t="shared" si="2"/>
        <v>32</v>
      </c>
      <c r="J9" s="13">
        <f t="shared" si="5"/>
        <v>2.0314084642516241</v>
      </c>
      <c r="K9" s="13">
        <f t="shared" si="3"/>
        <v>32.502535428025986</v>
      </c>
      <c r="L9" s="13">
        <f t="shared" si="4"/>
        <v>0.14883720930232558</v>
      </c>
    </row>
    <row r="11" spans="2:12" x14ac:dyDescent="0.25">
      <c r="B11" s="13" t="s">
        <v>26</v>
      </c>
      <c r="E11" s="13">
        <f>SUM(E4:E9)</f>
        <v>60</v>
      </c>
      <c r="G11" s="13">
        <f>SUM(G4:G9)</f>
        <v>4402</v>
      </c>
      <c r="I11" s="13">
        <f>SUM(I4:I9)</f>
        <v>-8</v>
      </c>
      <c r="K11" s="13">
        <f>SUM(K4:K9)</f>
        <v>109.40176538005113</v>
      </c>
      <c r="L11" s="13">
        <f>SUM(L4:L9)</f>
        <v>1.0201125323705598</v>
      </c>
    </row>
    <row r="15" spans="2:12" x14ac:dyDescent="0.25">
      <c r="B15" s="13" t="s">
        <v>46</v>
      </c>
      <c r="C15" s="13">
        <f>G11/E11</f>
        <v>73.36666666666666</v>
      </c>
      <c r="F15" s="13" t="s">
        <v>51</v>
      </c>
      <c r="G15" s="13">
        <f>51.5+((24-14)/11)*16</f>
        <v>66.045454545454547</v>
      </c>
    </row>
    <row r="16" spans="2:12" x14ac:dyDescent="0.25">
      <c r="B16" s="13" t="s">
        <v>28</v>
      </c>
      <c r="C16" s="13">
        <f>75.5+16*(I11/E11)</f>
        <v>73.36666666666666</v>
      </c>
      <c r="F16" s="13" t="s">
        <v>52</v>
      </c>
      <c r="G16" s="13">
        <f>83.5+((36-35)/9)*16</f>
        <v>85.277777777777771</v>
      </c>
    </row>
    <row r="18" spans="2:7" x14ac:dyDescent="0.25">
      <c r="B18" s="13" t="s">
        <v>29</v>
      </c>
      <c r="C18" s="13">
        <f>10^(K11/E11)</f>
        <v>66.582907592695051</v>
      </c>
      <c r="F18" s="13" t="s">
        <v>49</v>
      </c>
      <c r="G18" s="13">
        <f>51.5+((15-14)/11)*16</f>
        <v>52.954545454545453</v>
      </c>
    </row>
    <row r="19" spans="2:7" x14ac:dyDescent="0.25">
      <c r="B19" s="13" t="s">
        <v>30</v>
      </c>
      <c r="C19" s="13">
        <f>E11/L11</f>
        <v>58.817040371585954</v>
      </c>
      <c r="F19" s="13" t="s">
        <v>50</v>
      </c>
      <c r="G19" s="13">
        <f>99.5+((45-44)/16)*16</f>
        <v>100.5</v>
      </c>
    </row>
    <row r="21" spans="2:7" x14ac:dyDescent="0.25">
      <c r="B21" s="13" t="s">
        <v>31</v>
      </c>
      <c r="C21" s="13">
        <f>99.5+(7/(7+16))*16</f>
        <v>104.36956521739131</v>
      </c>
      <c r="F21" s="13" t="s">
        <v>53</v>
      </c>
      <c r="G21" s="13">
        <f>19.5+((9-0)/10)*16</f>
        <v>33.9</v>
      </c>
    </row>
    <row r="22" spans="2:7" x14ac:dyDescent="0.25">
      <c r="B22" s="13" t="s">
        <v>33</v>
      </c>
      <c r="C22" s="13">
        <f>67.5+((30-25)/10)*16</f>
        <v>75.5</v>
      </c>
      <c r="F22" s="13" t="s">
        <v>54</v>
      </c>
      <c r="G22" s="13">
        <f>83.5+((39-35)/9)*16</f>
        <v>90.611111111111114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N29"/>
  <sheetViews>
    <sheetView zoomScaleNormal="100" workbookViewId="0">
      <selection activeCell="P5" sqref="P5"/>
    </sheetView>
  </sheetViews>
  <sheetFormatPr defaultRowHeight="15" x14ac:dyDescent="0.25"/>
  <cols>
    <col min="1" max="1" width="9.140625" style="5"/>
    <col min="2" max="2" width="10.28515625" style="5" bestFit="1" customWidth="1"/>
    <col min="3" max="3" width="11.5703125" style="5" bestFit="1" customWidth="1"/>
    <col min="4" max="4" width="5.5703125" style="5" bestFit="1" customWidth="1"/>
    <col min="5" max="6" width="3" style="5" bestFit="1" customWidth="1"/>
    <col min="7" max="7" width="5.5703125" style="5" bestFit="1" customWidth="1"/>
    <col min="8" max="8" width="8.5703125" style="5" bestFit="1" customWidth="1"/>
    <col min="9" max="9" width="13.7109375" style="5" customWidth="1"/>
    <col min="10" max="10" width="3.85546875" style="5" bestFit="1" customWidth="1"/>
    <col min="11" max="11" width="5.85546875" style="5" bestFit="1" customWidth="1"/>
    <col min="12" max="12" width="9.42578125" style="5" bestFit="1" customWidth="1"/>
    <col min="13" max="14" width="9.28515625" style="5" bestFit="1" customWidth="1"/>
    <col min="15" max="16384" width="9.140625" style="5"/>
  </cols>
  <sheetData>
    <row r="1" spans="1:14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4" x14ac:dyDescent="0.25">
      <c r="A3" s="13"/>
      <c r="B3" s="13"/>
      <c r="C3" s="13" t="s">
        <v>2</v>
      </c>
      <c r="D3" s="13" t="s">
        <v>19</v>
      </c>
      <c r="E3" s="13" t="s">
        <v>20</v>
      </c>
      <c r="F3" s="13" t="s">
        <v>32</v>
      </c>
      <c r="G3" s="13" t="s">
        <v>23</v>
      </c>
      <c r="H3" s="13" t="s">
        <v>43</v>
      </c>
      <c r="I3" s="13" t="s">
        <v>27</v>
      </c>
      <c r="J3" s="13" t="s">
        <v>24</v>
      </c>
      <c r="K3" s="13" t="s">
        <v>44</v>
      </c>
      <c r="L3" s="13" t="s">
        <v>36</v>
      </c>
      <c r="M3" s="13" t="s">
        <v>37</v>
      </c>
      <c r="N3" s="13" t="s">
        <v>57</v>
      </c>
    </row>
    <row r="4" spans="1:14" x14ac:dyDescent="0.25">
      <c r="A4" s="13"/>
      <c r="B4" s="13"/>
      <c r="C4" s="14" t="s">
        <v>10</v>
      </c>
      <c r="D4" s="14">
        <v>27.5</v>
      </c>
      <c r="E4" s="14">
        <v>10</v>
      </c>
      <c r="F4" s="14">
        <v>10</v>
      </c>
      <c r="G4" s="13">
        <f>E4*D4</f>
        <v>275</v>
      </c>
      <c r="H4" s="13">
        <f>E4*D4^2</f>
        <v>7562.5</v>
      </c>
      <c r="I4" s="13">
        <f>(D4-75.5)/16</f>
        <v>-3</v>
      </c>
      <c r="J4" s="13">
        <f>E4*I4</f>
        <v>-30</v>
      </c>
      <c r="K4" s="13">
        <f>E4*I4^2</f>
        <v>90</v>
      </c>
      <c r="L4" s="19">
        <f>E4*ABS(D4-73.37)</f>
        <v>458.70000000000005</v>
      </c>
      <c r="M4" s="19">
        <f>E4*ABS(D4-75.5)</f>
        <v>480</v>
      </c>
      <c r="N4" s="13">
        <f>E4*ABS(D4-104.37)</f>
        <v>768.7</v>
      </c>
    </row>
    <row r="5" spans="1:14" x14ac:dyDescent="0.25">
      <c r="A5" s="13"/>
      <c r="B5" s="13"/>
      <c r="C5" s="13" t="s">
        <v>18</v>
      </c>
      <c r="D5" s="13">
        <v>43.5</v>
      </c>
      <c r="E5" s="13">
        <v>4</v>
      </c>
      <c r="F5" s="13">
        <v>14</v>
      </c>
      <c r="G5" s="13">
        <f t="shared" ref="G5:G9" si="0">E5*D5</f>
        <v>174</v>
      </c>
      <c r="H5" s="13">
        <f t="shared" ref="H5:H9" si="1">E5*D5^2</f>
        <v>7569</v>
      </c>
      <c r="I5" s="13">
        <f t="shared" ref="I5:I9" si="2">(D5-75.5)/16</f>
        <v>-2</v>
      </c>
      <c r="J5" s="13">
        <f t="shared" ref="J5:J9" si="3">E5*I5</f>
        <v>-8</v>
      </c>
      <c r="K5" s="13">
        <f t="shared" ref="K5:K9" si="4">E5*I5^2</f>
        <v>16</v>
      </c>
      <c r="L5" s="19">
        <f t="shared" ref="L5:L9" si="5">E5*ABS(D5-73.37)</f>
        <v>119.48000000000002</v>
      </c>
      <c r="M5" s="19">
        <f t="shared" ref="M5:M9" si="6">E5*ABS(D5-75.5)</f>
        <v>128</v>
      </c>
      <c r="N5" s="13">
        <f t="shared" ref="N5:N9" si="7">E5*ABS(D5-104.37)</f>
        <v>243.48000000000002</v>
      </c>
    </row>
    <row r="6" spans="1:14" x14ac:dyDescent="0.25">
      <c r="A6" s="13"/>
      <c r="B6" s="13"/>
      <c r="C6" s="15" t="s">
        <v>11</v>
      </c>
      <c r="D6" s="15">
        <v>59.5</v>
      </c>
      <c r="E6" s="15">
        <v>11</v>
      </c>
      <c r="F6" s="15">
        <v>25</v>
      </c>
      <c r="G6" s="13">
        <f t="shared" si="0"/>
        <v>654.5</v>
      </c>
      <c r="H6" s="13">
        <f t="shared" si="1"/>
        <v>38942.75</v>
      </c>
      <c r="I6" s="13">
        <f t="shared" si="2"/>
        <v>-1</v>
      </c>
      <c r="J6" s="13">
        <f t="shared" si="3"/>
        <v>-11</v>
      </c>
      <c r="K6" s="13">
        <f t="shared" si="4"/>
        <v>11</v>
      </c>
      <c r="L6" s="19">
        <f t="shared" si="5"/>
        <v>152.57000000000005</v>
      </c>
      <c r="M6" s="19">
        <f t="shared" si="6"/>
        <v>176</v>
      </c>
      <c r="N6" s="13">
        <f t="shared" si="7"/>
        <v>493.57000000000005</v>
      </c>
    </row>
    <row r="7" spans="1:14" x14ac:dyDescent="0.25">
      <c r="A7" s="13"/>
      <c r="B7" s="13"/>
      <c r="C7" s="16" t="s">
        <v>12</v>
      </c>
      <c r="D7" s="16">
        <v>75.5</v>
      </c>
      <c r="E7" s="16">
        <v>10</v>
      </c>
      <c r="F7" s="16">
        <v>35</v>
      </c>
      <c r="G7" s="13">
        <f t="shared" si="0"/>
        <v>755</v>
      </c>
      <c r="H7" s="13">
        <f t="shared" si="1"/>
        <v>57002.5</v>
      </c>
      <c r="I7" s="13">
        <f t="shared" si="2"/>
        <v>0</v>
      </c>
      <c r="J7" s="13">
        <f t="shared" si="3"/>
        <v>0</v>
      </c>
      <c r="K7" s="13">
        <f t="shared" si="4"/>
        <v>0</v>
      </c>
      <c r="L7" s="19">
        <f t="shared" si="5"/>
        <v>21.299999999999955</v>
      </c>
      <c r="M7" s="19">
        <f t="shared" si="6"/>
        <v>0</v>
      </c>
      <c r="N7" s="13">
        <f t="shared" si="7"/>
        <v>288.70000000000005</v>
      </c>
    </row>
    <row r="8" spans="1:14" x14ac:dyDescent="0.25">
      <c r="A8" s="13"/>
      <c r="B8" s="13"/>
      <c r="C8" s="17" t="s">
        <v>13</v>
      </c>
      <c r="D8" s="17">
        <v>91.5</v>
      </c>
      <c r="E8" s="17">
        <v>9</v>
      </c>
      <c r="F8" s="17">
        <v>44</v>
      </c>
      <c r="G8" s="13">
        <f t="shared" si="0"/>
        <v>823.5</v>
      </c>
      <c r="H8" s="13">
        <f t="shared" si="1"/>
        <v>75350.25</v>
      </c>
      <c r="I8" s="13">
        <f t="shared" si="2"/>
        <v>1</v>
      </c>
      <c r="J8" s="13">
        <f t="shared" si="3"/>
        <v>9</v>
      </c>
      <c r="K8" s="13">
        <f t="shared" si="4"/>
        <v>9</v>
      </c>
      <c r="L8" s="19">
        <f t="shared" si="5"/>
        <v>163.16999999999996</v>
      </c>
      <c r="M8" s="19">
        <f t="shared" si="6"/>
        <v>144</v>
      </c>
      <c r="N8" s="13">
        <f t="shared" si="7"/>
        <v>115.83000000000004</v>
      </c>
    </row>
    <row r="9" spans="1:14" x14ac:dyDescent="0.25">
      <c r="A9" s="13"/>
      <c r="B9" s="13"/>
      <c r="C9" s="18" t="s">
        <v>14</v>
      </c>
      <c r="D9" s="18">
        <v>107.5</v>
      </c>
      <c r="E9" s="18">
        <v>16</v>
      </c>
      <c r="F9" s="18">
        <v>60</v>
      </c>
      <c r="G9" s="13">
        <f t="shared" si="0"/>
        <v>1720</v>
      </c>
      <c r="H9" s="13">
        <f t="shared" si="1"/>
        <v>184900</v>
      </c>
      <c r="I9" s="13">
        <f t="shared" si="2"/>
        <v>2</v>
      </c>
      <c r="J9" s="13">
        <f t="shared" si="3"/>
        <v>32</v>
      </c>
      <c r="K9" s="13">
        <f t="shared" si="4"/>
        <v>64</v>
      </c>
      <c r="L9" s="19">
        <f t="shared" si="5"/>
        <v>546.07999999999993</v>
      </c>
      <c r="M9" s="19">
        <f t="shared" si="6"/>
        <v>512</v>
      </c>
      <c r="N9" s="13">
        <f t="shared" si="7"/>
        <v>50.079999999999927</v>
      </c>
    </row>
    <row r="10" spans="1:14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9"/>
      <c r="M10" s="19"/>
    </row>
    <row r="11" spans="1:14" x14ac:dyDescent="0.25">
      <c r="A11" s="13"/>
      <c r="B11" s="13" t="s">
        <v>26</v>
      </c>
      <c r="C11" s="13"/>
      <c r="D11" s="13"/>
      <c r="E11" s="13">
        <f>SUM(E4:E9)</f>
        <v>60</v>
      </c>
      <c r="F11" s="13"/>
      <c r="G11" s="13">
        <f>SUM(G4:G9)</f>
        <v>4402</v>
      </c>
      <c r="H11" s="13">
        <f>SUM(H4:H9)</f>
        <v>371327</v>
      </c>
      <c r="I11" s="13"/>
      <c r="J11" s="13">
        <f>SUM(J4:J9)</f>
        <v>-8</v>
      </c>
      <c r="K11" s="13">
        <f>SUM(K4:K9)</f>
        <v>190</v>
      </c>
      <c r="L11" s="19">
        <f>SUM(L4:L9)</f>
        <v>1461.3</v>
      </c>
      <c r="M11" s="19">
        <f>SUM(M4:M9)</f>
        <v>1440</v>
      </c>
      <c r="N11" s="19">
        <f>SUM(N4:N9)</f>
        <v>1960.3600000000001</v>
      </c>
    </row>
    <row r="14" spans="1:14" x14ac:dyDescent="0.25">
      <c r="B14" s="5" t="s">
        <v>38</v>
      </c>
      <c r="C14" s="5">
        <f>L11/E11</f>
        <v>24.355</v>
      </c>
    </row>
    <row r="15" spans="1:14" x14ac:dyDescent="0.25">
      <c r="B15" s="5" t="s">
        <v>41</v>
      </c>
      <c r="C15" s="5">
        <f>C14*100/73.37</f>
        <v>33.194766253237013</v>
      </c>
      <c r="D15" s="5" t="s">
        <v>39</v>
      </c>
    </row>
    <row r="17" spans="2:4" x14ac:dyDescent="0.25">
      <c r="B17" s="5" t="s">
        <v>40</v>
      </c>
      <c r="C17" s="5">
        <f>M11/E11</f>
        <v>24</v>
      </c>
    </row>
    <row r="18" spans="2:4" x14ac:dyDescent="0.25">
      <c r="B18" s="5" t="s">
        <v>42</v>
      </c>
      <c r="C18" s="5">
        <f>C17*100/75.5</f>
        <v>31.788079470198674</v>
      </c>
      <c r="D18" s="5" t="s">
        <v>39</v>
      </c>
    </row>
    <row r="20" spans="2:4" x14ac:dyDescent="0.25">
      <c r="B20" s="5" t="s">
        <v>58</v>
      </c>
      <c r="C20" s="5">
        <f>N11/E11</f>
        <v>32.672666666666672</v>
      </c>
    </row>
    <row r="21" spans="2:4" x14ac:dyDescent="0.25">
      <c r="B21" s="5" t="s">
        <v>59</v>
      </c>
      <c r="C21" s="5">
        <f>C20*100/104.37</f>
        <v>31.304653316725755</v>
      </c>
      <c r="D21" s="5" t="s">
        <v>39</v>
      </c>
    </row>
    <row r="24" spans="2:4" x14ac:dyDescent="0.25">
      <c r="B24" s="5" t="s">
        <v>47</v>
      </c>
      <c r="C24" s="5">
        <f>SQRT((H11/E11)-(G11/E11)^2)</f>
        <v>28.392174195639843</v>
      </c>
    </row>
    <row r="25" spans="2:4" x14ac:dyDescent="0.25">
      <c r="B25" s="5" t="s">
        <v>48</v>
      </c>
      <c r="C25" s="5">
        <f>16*SQRT((K11/E11)-(J11/E11)^2)</f>
        <v>28.392174195639818</v>
      </c>
    </row>
    <row r="26" spans="2:4" x14ac:dyDescent="0.25">
      <c r="B26" s="5" t="s">
        <v>45</v>
      </c>
      <c r="C26" s="5">
        <f>C24*100/73.37</f>
        <v>38.697252549597707</v>
      </c>
      <c r="D26" s="5" t="s">
        <v>39</v>
      </c>
    </row>
    <row r="28" spans="2:4" x14ac:dyDescent="0.25">
      <c r="B28" s="5" t="s">
        <v>55</v>
      </c>
      <c r="C28" s="5">
        <f>100.5-52.9545</f>
        <v>47.545499999999997</v>
      </c>
    </row>
    <row r="29" spans="2:4" x14ac:dyDescent="0.25">
      <c r="B29" s="5" t="s">
        <v>56</v>
      </c>
      <c r="C29" s="5">
        <f>(100.5-52.9545)*100/(100.5+52.9545)</f>
        <v>30.983451120690493</v>
      </c>
      <c r="D29" s="5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C3:K25"/>
  <sheetViews>
    <sheetView topLeftCell="A16" workbookViewId="0">
      <selection activeCell="M11" sqref="M11"/>
    </sheetView>
  </sheetViews>
  <sheetFormatPr defaultRowHeight="15" x14ac:dyDescent="0.25"/>
  <cols>
    <col min="1" max="2" width="9.140625" style="13"/>
    <col min="3" max="3" width="8.42578125" style="13" bestFit="1" customWidth="1"/>
    <col min="4" max="4" width="12.28515625" style="13" bestFit="1" customWidth="1"/>
    <col min="5" max="5" width="5.5703125" style="13" bestFit="1" customWidth="1"/>
    <col min="6" max="6" width="12" style="13" bestFit="1" customWidth="1"/>
    <col min="7" max="7" width="11.140625" style="13" bestFit="1" customWidth="1"/>
    <col min="8" max="8" width="11.7109375" style="13" bestFit="1" customWidth="1"/>
    <col min="9" max="9" width="11.5703125" style="13" bestFit="1" customWidth="1"/>
    <col min="10" max="10" width="12.28515625" style="13" bestFit="1" customWidth="1"/>
    <col min="11" max="11" width="11.5703125" style="13" bestFit="1" customWidth="1"/>
    <col min="12" max="16384" width="9.140625" style="13"/>
  </cols>
  <sheetData>
    <row r="3" spans="3:11" x14ac:dyDescent="0.25">
      <c r="D3" s="13" t="s">
        <v>2</v>
      </c>
      <c r="E3" s="13" t="s">
        <v>19</v>
      </c>
      <c r="F3" s="13" t="s">
        <v>20</v>
      </c>
      <c r="G3" s="13" t="s">
        <v>60</v>
      </c>
      <c r="H3" s="13" t="s">
        <v>24</v>
      </c>
      <c r="I3" s="13" t="s">
        <v>44</v>
      </c>
      <c r="J3" s="13" t="s">
        <v>61</v>
      </c>
      <c r="K3" s="13" t="s">
        <v>62</v>
      </c>
    </row>
    <row r="4" spans="3:11" x14ac:dyDescent="0.25">
      <c r="D4" s="14" t="s">
        <v>10</v>
      </c>
      <c r="E4" s="14">
        <v>27.5</v>
      </c>
      <c r="F4" s="14">
        <v>10</v>
      </c>
      <c r="G4" s="13">
        <f t="shared" ref="G4:G9" si="0">(E4-80)/16</f>
        <v>-3.28125</v>
      </c>
      <c r="H4" s="13">
        <f>F4*G4</f>
        <v>-32.8125</v>
      </c>
      <c r="I4" s="13">
        <f>F4*G4^2</f>
        <v>107.666015625</v>
      </c>
      <c r="J4" s="13">
        <f>F4*G4^3</f>
        <v>-353.27911376953125</v>
      </c>
      <c r="K4" s="13">
        <f>F4*G4^4</f>
        <v>1159.1970920562744</v>
      </c>
    </row>
    <row r="5" spans="3:11" x14ac:dyDescent="0.25">
      <c r="D5" s="13" t="s">
        <v>18</v>
      </c>
      <c r="E5" s="13">
        <v>43.5</v>
      </c>
      <c r="F5" s="13">
        <v>4</v>
      </c>
      <c r="G5" s="13">
        <f t="shared" si="0"/>
        <v>-2.28125</v>
      </c>
      <c r="H5" s="13">
        <f t="shared" ref="H5:H9" si="1">F5*G5</f>
        <v>-9.125</v>
      </c>
      <c r="I5" s="13">
        <f t="shared" ref="I5:I9" si="2">F5*G5^2</f>
        <v>20.81640625</v>
      </c>
      <c r="J5" s="13">
        <f t="shared" ref="J5:J9" si="3">F5*G5^3</f>
        <v>-47.4874267578125</v>
      </c>
      <c r="K5" s="13">
        <f t="shared" ref="K5:K9" si="4">F5*G5^4</f>
        <v>108.33069229125977</v>
      </c>
    </row>
    <row r="6" spans="3:11" x14ac:dyDescent="0.25">
      <c r="D6" s="15" t="s">
        <v>11</v>
      </c>
      <c r="E6" s="15">
        <v>59.5</v>
      </c>
      <c r="F6" s="15">
        <v>11</v>
      </c>
      <c r="G6" s="13">
        <f t="shared" si="0"/>
        <v>-1.28125</v>
      </c>
      <c r="H6" s="13">
        <f t="shared" si="1"/>
        <v>-14.09375</v>
      </c>
      <c r="I6" s="13">
        <f t="shared" si="2"/>
        <v>18.0576171875</v>
      </c>
      <c r="J6" s="13">
        <f t="shared" si="3"/>
        <v>-23.136322021484375</v>
      </c>
      <c r="K6" s="13">
        <f t="shared" si="4"/>
        <v>29.643412590026855</v>
      </c>
    </row>
    <row r="7" spans="3:11" x14ac:dyDescent="0.25">
      <c r="D7" s="16" t="s">
        <v>12</v>
      </c>
      <c r="E7" s="16">
        <v>75.5</v>
      </c>
      <c r="F7" s="16">
        <v>10</v>
      </c>
      <c r="G7" s="13">
        <f t="shared" si="0"/>
        <v>-0.28125</v>
      </c>
      <c r="H7" s="13">
        <f t="shared" si="1"/>
        <v>-2.8125</v>
      </c>
      <c r="I7" s="13">
        <f t="shared" si="2"/>
        <v>0.791015625</v>
      </c>
      <c r="J7" s="13">
        <f t="shared" si="3"/>
        <v>-0.22247314453125</v>
      </c>
      <c r="K7" s="13">
        <f t="shared" si="4"/>
        <v>6.2570571899414063E-2</v>
      </c>
    </row>
    <row r="8" spans="3:11" x14ac:dyDescent="0.25">
      <c r="D8" s="17" t="s">
        <v>13</v>
      </c>
      <c r="E8" s="17">
        <v>91.5</v>
      </c>
      <c r="F8" s="17">
        <v>9</v>
      </c>
      <c r="G8" s="13">
        <f t="shared" si="0"/>
        <v>0.71875</v>
      </c>
      <c r="H8" s="13">
        <f t="shared" si="1"/>
        <v>6.46875</v>
      </c>
      <c r="I8" s="13">
        <f t="shared" si="2"/>
        <v>4.6494140625</v>
      </c>
      <c r="J8" s="13">
        <f t="shared" si="3"/>
        <v>3.341766357421875</v>
      </c>
      <c r="K8" s="13">
        <f t="shared" si="4"/>
        <v>2.4018945693969727</v>
      </c>
    </row>
    <row r="9" spans="3:11" x14ac:dyDescent="0.25">
      <c r="D9" s="18" t="s">
        <v>14</v>
      </c>
      <c r="E9" s="18">
        <v>107.5</v>
      </c>
      <c r="F9" s="18">
        <v>16</v>
      </c>
      <c r="G9" s="13">
        <f t="shared" si="0"/>
        <v>1.71875</v>
      </c>
      <c r="H9" s="13">
        <f t="shared" si="1"/>
        <v>27.5</v>
      </c>
      <c r="I9" s="13">
        <f t="shared" si="2"/>
        <v>47.265625</v>
      </c>
      <c r="J9" s="13">
        <f t="shared" si="3"/>
        <v>81.23779296875</v>
      </c>
      <c r="K9" s="13">
        <f t="shared" si="4"/>
        <v>139.62745666503906</v>
      </c>
    </row>
    <row r="11" spans="3:11" x14ac:dyDescent="0.25">
      <c r="C11" s="13" t="s">
        <v>63</v>
      </c>
      <c r="F11" s="13">
        <f>SUM(F4:F9)</f>
        <v>60</v>
      </c>
      <c r="H11" s="13">
        <f t="shared" ref="H11:K11" si="5">SUM(H4:H9)</f>
        <v>-24.875</v>
      </c>
      <c r="I11" s="13">
        <f t="shared" si="5"/>
        <v>199.24609375</v>
      </c>
      <c r="J11" s="13">
        <f t="shared" si="5"/>
        <v>-339.5457763671875</v>
      </c>
      <c r="K11" s="13">
        <f t="shared" si="5"/>
        <v>1439.2631187438965</v>
      </c>
    </row>
    <row r="14" spans="3:11" x14ac:dyDescent="0.25">
      <c r="C14" s="13" t="s">
        <v>64</v>
      </c>
      <c r="D14" s="13">
        <f>16*H11/F11</f>
        <v>-6.6333333333333337</v>
      </c>
    </row>
    <row r="15" spans="3:11" x14ac:dyDescent="0.25">
      <c r="C15" s="13" t="s">
        <v>65</v>
      </c>
      <c r="D15" s="13">
        <f>16^2*I11/F11</f>
        <v>850.11666666666667</v>
      </c>
    </row>
    <row r="16" spans="3:11" x14ac:dyDescent="0.25">
      <c r="C16" s="13" t="s">
        <v>66</v>
      </c>
      <c r="D16" s="13">
        <f>16^3*J11/F11</f>
        <v>-23179.658333333333</v>
      </c>
    </row>
    <row r="17" spans="3:8" x14ac:dyDescent="0.25">
      <c r="C17" s="13" t="s">
        <v>67</v>
      </c>
      <c r="D17" s="13">
        <f>16^4*K11/F11</f>
        <v>1572059.1291666667</v>
      </c>
    </row>
    <row r="19" spans="3:8" x14ac:dyDescent="0.25">
      <c r="C19" s="13" t="s">
        <v>68</v>
      </c>
      <c r="D19" s="13">
        <v>0</v>
      </c>
    </row>
    <row r="20" spans="3:8" x14ac:dyDescent="0.25">
      <c r="C20" s="13" t="s">
        <v>69</v>
      </c>
      <c r="D20" s="13">
        <f>D15-D14^2</f>
        <v>806.1155555555556</v>
      </c>
    </row>
    <row r="21" spans="3:8" x14ac:dyDescent="0.25">
      <c r="C21" s="13" t="s">
        <v>70</v>
      </c>
      <c r="D21" s="13">
        <f>D16-3*D15*D14+2*D14^3</f>
        <v>-6846.08474074074</v>
      </c>
    </row>
    <row r="22" spans="3:8" x14ac:dyDescent="0.25">
      <c r="C22" s="13" t="s">
        <v>71</v>
      </c>
      <c r="D22" s="13">
        <f>D17-4*D16*D14+6*D15*D14^2-3*D14^4</f>
        <v>1175653.7021629629</v>
      </c>
    </row>
    <row r="24" spans="3:8" ht="30" x14ac:dyDescent="0.25">
      <c r="C24" s="13" t="s">
        <v>72</v>
      </c>
      <c r="D24" s="13">
        <f>D21/SQRT(D20^3)</f>
        <v>-0.29912059625358561</v>
      </c>
      <c r="E24" s="13" t="s">
        <v>73</v>
      </c>
      <c r="F24" s="13" t="s">
        <v>74</v>
      </c>
      <c r="H24" s="13" t="s">
        <v>75</v>
      </c>
    </row>
    <row r="25" spans="3:8" ht="30" x14ac:dyDescent="0.25">
      <c r="C25" s="13" t="s">
        <v>76</v>
      </c>
      <c r="D25" s="13">
        <f>D22/D20^2</f>
        <v>1.8091926396329674</v>
      </c>
      <c r="E25" s="13" t="s">
        <v>77</v>
      </c>
      <c r="F25" s="13" t="s">
        <v>78</v>
      </c>
      <c r="H25" s="13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1"/>
  <sheetViews>
    <sheetView tabSelected="1" topLeftCell="A13" workbookViewId="0">
      <selection activeCell="R25" sqref="R25"/>
    </sheetView>
  </sheetViews>
  <sheetFormatPr defaultRowHeight="15" x14ac:dyDescent="0.25"/>
  <cols>
    <col min="1" max="2" width="9.140625" style="1"/>
    <col min="3" max="3" width="7.7109375" style="1" bestFit="1" customWidth="1"/>
    <col min="4" max="4" width="5.28515625" style="1" bestFit="1" customWidth="1"/>
    <col min="5" max="16384" width="9.140625" style="1"/>
  </cols>
  <sheetData>
    <row r="2" spans="2:12" x14ac:dyDescent="0.25">
      <c r="C2" s="20" t="s">
        <v>19</v>
      </c>
      <c r="D2" s="20" t="s">
        <v>80</v>
      </c>
      <c r="E2" s="1" t="s">
        <v>82</v>
      </c>
      <c r="F2" s="1" t="s">
        <v>83</v>
      </c>
      <c r="G2" s="1" t="s">
        <v>84</v>
      </c>
      <c r="I2" s="1" t="s">
        <v>88</v>
      </c>
      <c r="J2" s="1" t="s">
        <v>89</v>
      </c>
      <c r="K2" s="1" t="s">
        <v>90</v>
      </c>
      <c r="L2" s="1" t="s">
        <v>91</v>
      </c>
    </row>
    <row r="3" spans="2:12" x14ac:dyDescent="0.25">
      <c r="C3" s="21">
        <v>93</v>
      </c>
      <c r="D3" s="21">
        <v>71</v>
      </c>
      <c r="E3" s="1">
        <f>C3^2</f>
        <v>8649</v>
      </c>
      <c r="F3" s="1">
        <f>D3^2</f>
        <v>5041</v>
      </c>
      <c r="G3" s="1">
        <f>C3*D3</f>
        <v>6603</v>
      </c>
      <c r="I3" s="1">
        <v>3</v>
      </c>
      <c r="J3" s="1">
        <v>2</v>
      </c>
      <c r="K3" s="1">
        <f>I3-J3</f>
        <v>1</v>
      </c>
      <c r="L3" s="1">
        <f>K3^2</f>
        <v>1</v>
      </c>
    </row>
    <row r="4" spans="2:12" x14ac:dyDescent="0.25">
      <c r="C4" s="21">
        <v>94</v>
      </c>
      <c r="D4" s="21">
        <v>86</v>
      </c>
      <c r="E4" s="1">
        <f t="shared" ref="E4:E10" si="0">C4^2</f>
        <v>8836</v>
      </c>
      <c r="F4" s="1">
        <f t="shared" ref="F4:F10" si="1">D4^2</f>
        <v>7396</v>
      </c>
      <c r="G4" s="1">
        <f t="shared" ref="G4:G10" si="2">C4*D4</f>
        <v>8084</v>
      </c>
      <c r="I4" s="1">
        <v>4</v>
      </c>
      <c r="J4" s="1">
        <v>5</v>
      </c>
      <c r="K4" s="1">
        <f t="shared" ref="K4:K7" si="3">I4-J4</f>
        <v>-1</v>
      </c>
      <c r="L4" s="1">
        <f t="shared" ref="L4:L7" si="4">K4^2</f>
        <v>1</v>
      </c>
    </row>
    <row r="5" spans="2:12" x14ac:dyDescent="0.25">
      <c r="C5" s="21">
        <v>99</v>
      </c>
      <c r="D5" s="21">
        <v>60</v>
      </c>
      <c r="E5" s="1">
        <f t="shared" si="0"/>
        <v>9801</v>
      </c>
      <c r="F5" s="1">
        <f t="shared" si="1"/>
        <v>3600</v>
      </c>
      <c r="G5" s="1">
        <f t="shared" si="2"/>
        <v>5940</v>
      </c>
      <c r="I5" s="1">
        <v>1</v>
      </c>
      <c r="J5" s="1">
        <v>3</v>
      </c>
      <c r="K5" s="1">
        <f t="shared" si="3"/>
        <v>-2</v>
      </c>
      <c r="L5" s="1">
        <f t="shared" si="4"/>
        <v>4</v>
      </c>
    </row>
    <row r="6" spans="2:12" x14ac:dyDescent="0.25">
      <c r="B6" s="2" t="s">
        <v>81</v>
      </c>
      <c r="C6" s="21">
        <v>89</v>
      </c>
      <c r="D6" s="21">
        <v>91</v>
      </c>
      <c r="E6" s="1">
        <f t="shared" si="0"/>
        <v>7921</v>
      </c>
      <c r="F6" s="1">
        <f t="shared" si="1"/>
        <v>8281</v>
      </c>
      <c r="G6" s="1">
        <f t="shared" si="2"/>
        <v>8099</v>
      </c>
      <c r="I6" s="1">
        <v>2</v>
      </c>
      <c r="J6" s="1">
        <v>1</v>
      </c>
      <c r="K6" s="1">
        <f t="shared" si="3"/>
        <v>1</v>
      </c>
      <c r="L6" s="1">
        <f t="shared" si="4"/>
        <v>1</v>
      </c>
    </row>
    <row r="7" spans="2:12" x14ac:dyDescent="0.25">
      <c r="C7" s="21">
        <v>56</v>
      </c>
      <c r="D7" s="21">
        <v>99</v>
      </c>
      <c r="E7" s="1">
        <f t="shared" si="0"/>
        <v>3136</v>
      </c>
      <c r="F7" s="1">
        <f t="shared" si="1"/>
        <v>9801</v>
      </c>
      <c r="G7" s="1">
        <f t="shared" si="2"/>
        <v>5544</v>
      </c>
      <c r="I7" s="1">
        <v>5</v>
      </c>
      <c r="J7" s="1">
        <v>4</v>
      </c>
      <c r="K7" s="1">
        <f t="shared" si="3"/>
        <v>1</v>
      </c>
      <c r="L7" s="1">
        <f t="shared" si="4"/>
        <v>1</v>
      </c>
    </row>
    <row r="8" spans="2:12" x14ac:dyDescent="0.25">
      <c r="C8" s="21">
        <v>88</v>
      </c>
      <c r="D8" s="21">
        <v>83</v>
      </c>
      <c r="E8" s="1">
        <f t="shared" si="0"/>
        <v>7744</v>
      </c>
      <c r="F8" s="1">
        <f t="shared" si="1"/>
        <v>6889</v>
      </c>
      <c r="G8" s="1">
        <f t="shared" si="2"/>
        <v>7304</v>
      </c>
    </row>
    <row r="9" spans="2:12" x14ac:dyDescent="0.25">
      <c r="C9" s="21">
        <v>88</v>
      </c>
      <c r="D9" s="21">
        <v>62</v>
      </c>
      <c r="E9" s="1">
        <f t="shared" si="0"/>
        <v>7744</v>
      </c>
      <c r="F9" s="1">
        <f t="shared" si="1"/>
        <v>3844</v>
      </c>
      <c r="G9" s="1">
        <f t="shared" si="2"/>
        <v>5456</v>
      </c>
      <c r="K9" s="1" t="s">
        <v>63</v>
      </c>
      <c r="L9" s="1">
        <f>SUM(L3:L7)</f>
        <v>8</v>
      </c>
    </row>
    <row r="10" spans="2:12" x14ac:dyDescent="0.25">
      <c r="C10" s="21">
        <v>67</v>
      </c>
      <c r="D10" s="21">
        <v>55</v>
      </c>
      <c r="E10" s="1">
        <f t="shared" si="0"/>
        <v>4489</v>
      </c>
      <c r="F10" s="1">
        <f t="shared" si="1"/>
        <v>3025</v>
      </c>
      <c r="G10" s="1">
        <f t="shared" si="2"/>
        <v>3685</v>
      </c>
    </row>
    <row r="11" spans="2:12" x14ac:dyDescent="0.25">
      <c r="B11" s="1" t="s">
        <v>63</v>
      </c>
      <c r="C11" s="1">
        <f>SUM(C3:C10)</f>
        <v>674</v>
      </c>
      <c r="D11" s="1">
        <f t="shared" ref="D11:G11" si="5">SUM(D3:D10)</f>
        <v>607</v>
      </c>
      <c r="E11" s="1">
        <f t="shared" si="5"/>
        <v>58320</v>
      </c>
      <c r="F11" s="1">
        <f t="shared" si="5"/>
        <v>47877</v>
      </c>
      <c r="G11" s="1">
        <f t="shared" si="5"/>
        <v>50715</v>
      </c>
      <c r="K11" s="1" t="s">
        <v>92</v>
      </c>
      <c r="L11" s="1">
        <f>1-(6*L9)/(5*(5^2-1))</f>
        <v>0.6</v>
      </c>
    </row>
    <row r="13" spans="2:12" x14ac:dyDescent="0.25">
      <c r="K13" s="22" t="s">
        <v>98</v>
      </c>
    </row>
    <row r="15" spans="2:12" x14ac:dyDescent="0.25">
      <c r="B15" s="1" t="s">
        <v>85</v>
      </c>
      <c r="C15" s="1">
        <f>(8*G11-C11*D11)/SQRT((8*E11-C11^2)*(8*F11-D11^2))</f>
        <v>-0.25402029177592494</v>
      </c>
      <c r="E15" s="22" t="s">
        <v>99</v>
      </c>
    </row>
    <row r="17" spans="2:8" x14ac:dyDescent="0.25">
      <c r="B17" s="1" t="s">
        <v>86</v>
      </c>
      <c r="C17" s="1">
        <f>(8*G11-C11*D11)/(8*E11-C11^2)</f>
        <v>-0.27661999348746336</v>
      </c>
      <c r="E17" s="23" t="s">
        <v>93</v>
      </c>
      <c r="F17" s="23"/>
      <c r="G17" s="23"/>
    </row>
    <row r="18" spans="2:8" x14ac:dyDescent="0.25">
      <c r="B18" s="1" t="s">
        <v>87</v>
      </c>
      <c r="C18" s="1">
        <f>(8*G11-C11*D11)/(8*F11-D11^2)</f>
        <v>-0.23326697329580559</v>
      </c>
      <c r="E18" s="23"/>
      <c r="F18" s="23"/>
      <c r="G18" s="23"/>
    </row>
    <row r="20" spans="2:8" x14ac:dyDescent="0.25">
      <c r="B20" s="1" t="s">
        <v>96</v>
      </c>
      <c r="C20" s="1">
        <f>C11/8</f>
        <v>84.25</v>
      </c>
    </row>
    <row r="21" spans="2:8" x14ac:dyDescent="0.25">
      <c r="B21" s="1" t="s">
        <v>95</v>
      </c>
      <c r="C21" s="1">
        <f>D11/8</f>
        <v>75.875</v>
      </c>
    </row>
    <row r="23" spans="2:8" x14ac:dyDescent="0.25">
      <c r="B23" s="22" t="s">
        <v>94</v>
      </c>
    </row>
    <row r="25" spans="2:8" x14ac:dyDescent="0.25">
      <c r="B25" s="22" t="s">
        <v>97</v>
      </c>
    </row>
    <row r="26" spans="2:8" x14ac:dyDescent="0.25">
      <c r="B26" s="22" t="s">
        <v>102</v>
      </c>
      <c r="H26" s="22" t="s">
        <v>104</v>
      </c>
    </row>
    <row r="28" spans="2:8" x14ac:dyDescent="0.25">
      <c r="B28" s="22" t="s">
        <v>94</v>
      </c>
    </row>
    <row r="30" spans="2:8" x14ac:dyDescent="0.25">
      <c r="B30" s="22" t="s">
        <v>100</v>
      </c>
    </row>
    <row r="31" spans="2:8" x14ac:dyDescent="0.25">
      <c r="B31" s="22" t="s">
        <v>101</v>
      </c>
      <c r="H31" s="22" t="s">
        <v>103</v>
      </c>
    </row>
  </sheetData>
  <mergeCells count="1">
    <mergeCell ref="E17:G18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Frequency table</vt:lpstr>
      <vt:lpstr>Visualizations</vt:lpstr>
      <vt:lpstr>Central values</vt:lpstr>
      <vt:lpstr>Dispersions</vt:lpstr>
      <vt:lpstr>Nature</vt:lpstr>
      <vt:lpstr>Cor-Reg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Mahtab Uddin</dc:creator>
  <cp:lastModifiedBy>Mahtab Uddin</cp:lastModifiedBy>
  <dcterms:created xsi:type="dcterms:W3CDTF">2015-06-05T18:17:20Z</dcterms:created>
  <dcterms:modified xsi:type="dcterms:W3CDTF">2025-12-12T12:57:04Z</dcterms:modified>
</cp:coreProperties>
</file>